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20" yWindow="60" windowWidth="18915" windowHeight="11565"/>
  </bookViews>
  <sheets>
    <sheet name="Principal" sheetId="3" r:id="rId1"/>
    <sheet name="P1" sheetId="1" r:id="rId2"/>
    <sheet name="P2" sheetId="9" r:id="rId3"/>
    <sheet name="P3" sheetId="10" r:id="rId4"/>
    <sheet name="P4" sheetId="11" r:id="rId5"/>
    <sheet name="Tareas-notas" sheetId="6" r:id="rId6"/>
  </sheets>
  <calcPr calcId="144525"/>
</workbook>
</file>

<file path=xl/calcChain.xml><?xml version="1.0" encoding="utf-8"?>
<calcChain xmlns="http://schemas.openxmlformats.org/spreadsheetml/2006/main">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3" i="10"/>
  <c r="E4" i="3"/>
  <c r="E5" i="3"/>
  <c r="E6" i="3"/>
  <c r="E7" i="3"/>
  <c r="E8" i="3"/>
  <c r="E9" i="3"/>
  <c r="E10" i="3"/>
  <c r="E11" i="3"/>
  <c r="E12" i="3"/>
  <c r="E13" i="3"/>
  <c r="E14" i="3"/>
  <c r="E15" i="3"/>
  <c r="E16" i="3"/>
  <c r="E17" i="3"/>
  <c r="E18" i="3"/>
  <c r="E19" i="3"/>
  <c r="E20" i="3"/>
  <c r="E21" i="3"/>
  <c r="E22" i="3"/>
  <c r="E23" i="3"/>
  <c r="E24" i="3"/>
  <c r="E25" i="3"/>
  <c r="E26" i="3"/>
  <c r="E27" i="3"/>
  <c r="E28" i="3"/>
  <c r="E29" i="3"/>
  <c r="E30" i="3"/>
  <c r="E31" i="3"/>
  <c r="E32" i="3"/>
  <c r="E33" i="3"/>
  <c r="E34" i="3"/>
  <c r="E35" i="3"/>
  <c r="E36" i="3"/>
  <c r="E37" i="3"/>
  <c r="E38" i="3"/>
  <c r="E39" i="3"/>
  <c r="E40" i="3"/>
  <c r="E3" i="3"/>
  <c r="O4" i="11"/>
  <c r="O5" i="11"/>
  <c r="O6" i="11"/>
  <c r="O7" i="11"/>
  <c r="O8" i="11"/>
  <c r="O9" i="11"/>
  <c r="O10" i="11"/>
  <c r="O11" i="11"/>
  <c r="O12" i="11"/>
  <c r="O13" i="11"/>
  <c r="O14" i="11"/>
  <c r="O15" i="11"/>
  <c r="O16" i="11"/>
  <c r="O17" i="11"/>
  <c r="O18" i="11"/>
  <c r="O19" i="11"/>
  <c r="O20" i="11"/>
  <c r="O21" i="11"/>
  <c r="O22" i="11"/>
  <c r="O23" i="11"/>
  <c r="O24" i="11"/>
  <c r="O25" i="11"/>
  <c r="O26" i="11"/>
  <c r="O27" i="11"/>
  <c r="O28" i="11"/>
  <c r="O29" i="11"/>
  <c r="O30" i="11"/>
  <c r="O31" i="11"/>
  <c r="O32" i="11"/>
  <c r="O33" i="11"/>
  <c r="O34" i="11"/>
  <c r="O35" i="11"/>
  <c r="O36" i="11"/>
  <c r="O37" i="11"/>
  <c r="O38" i="11"/>
  <c r="O39" i="11"/>
  <c r="O40" i="11"/>
  <c r="O3" i="11"/>
  <c r="M40" i="11"/>
  <c r="G40" i="11"/>
  <c r="M39" i="11"/>
  <c r="G39" i="11"/>
  <c r="M38" i="11"/>
  <c r="G38" i="11"/>
  <c r="M37" i="11"/>
  <c r="G37" i="11"/>
  <c r="M36" i="11"/>
  <c r="G36" i="11"/>
  <c r="M35" i="11"/>
  <c r="G35" i="11"/>
  <c r="M34" i="11"/>
  <c r="G34" i="11"/>
  <c r="M33" i="11"/>
  <c r="G33" i="11"/>
  <c r="M32" i="11"/>
  <c r="G32" i="11"/>
  <c r="M31" i="11"/>
  <c r="G31" i="11"/>
  <c r="M30" i="11"/>
  <c r="G30" i="11"/>
  <c r="M29" i="11"/>
  <c r="G29" i="11"/>
  <c r="M28" i="11"/>
  <c r="G28" i="11"/>
  <c r="M27" i="11"/>
  <c r="G27" i="11"/>
  <c r="M26" i="11"/>
  <c r="G26" i="11"/>
  <c r="M25" i="11"/>
  <c r="G25" i="11"/>
  <c r="M24" i="11"/>
  <c r="G24" i="11"/>
  <c r="M23" i="11"/>
  <c r="G23" i="11"/>
  <c r="M22" i="11"/>
  <c r="G22" i="11"/>
  <c r="M21" i="11"/>
  <c r="G21" i="11"/>
  <c r="M20" i="11"/>
  <c r="G20" i="11"/>
  <c r="M19" i="11"/>
  <c r="G19" i="11"/>
  <c r="M18" i="11"/>
  <c r="G18" i="11"/>
  <c r="M17" i="11"/>
  <c r="G17" i="11"/>
  <c r="M16" i="11"/>
  <c r="G16" i="11"/>
  <c r="M15" i="11"/>
  <c r="G15" i="11"/>
  <c r="M14" i="11"/>
  <c r="G14" i="11"/>
  <c r="M13" i="11"/>
  <c r="G13" i="11"/>
  <c r="M12" i="11"/>
  <c r="G12" i="11"/>
  <c r="M11" i="11"/>
  <c r="G11" i="11"/>
  <c r="M10" i="11"/>
  <c r="G10" i="11"/>
  <c r="M9" i="11"/>
  <c r="G9" i="11"/>
  <c r="M8" i="11"/>
  <c r="G8" i="11"/>
  <c r="M7" i="11"/>
  <c r="G7" i="11"/>
  <c r="M6" i="11"/>
  <c r="G6" i="11"/>
  <c r="M5" i="11"/>
  <c r="G5" i="11"/>
  <c r="M4" i="11"/>
  <c r="G4" i="11"/>
  <c r="M3" i="11"/>
  <c r="G3" i="1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3" i="1"/>
  <c r="V4" i="9" l="1"/>
  <c r="V7" i="9"/>
  <c r="V8" i="9"/>
  <c r="V9" i="9"/>
  <c r="V10" i="9"/>
  <c r="V11" i="9"/>
  <c r="V12" i="9"/>
  <c r="V14" i="9"/>
  <c r="V16" i="9"/>
  <c r="V20" i="9"/>
  <c r="V22" i="9"/>
  <c r="V23" i="9"/>
  <c r="V24" i="9"/>
  <c r="V25" i="9"/>
  <c r="V27" i="9"/>
  <c r="V28" i="9"/>
  <c r="V29" i="9"/>
  <c r="V30" i="9"/>
  <c r="V34" i="9"/>
  <c r="V36" i="9"/>
  <c r="V38" i="9"/>
  <c r="U40" i="10" l="1"/>
  <c r="L40" i="10"/>
  <c r="G40" i="10"/>
  <c r="U39" i="10"/>
  <c r="L39" i="10"/>
  <c r="G39" i="10"/>
  <c r="W39" i="10" s="1"/>
  <c r="D39" i="3" s="1"/>
  <c r="U38" i="10"/>
  <c r="L38" i="10"/>
  <c r="G38" i="10"/>
  <c r="U37" i="10"/>
  <c r="L37" i="10"/>
  <c r="G37" i="10"/>
  <c r="W37" i="10" s="1"/>
  <c r="D37" i="3" s="1"/>
  <c r="U36" i="10"/>
  <c r="L36" i="10"/>
  <c r="G36" i="10"/>
  <c r="U35" i="10"/>
  <c r="L35" i="10"/>
  <c r="G35" i="10"/>
  <c r="W35" i="10" s="1"/>
  <c r="D35" i="3" s="1"/>
  <c r="U34" i="10"/>
  <c r="L34" i="10"/>
  <c r="G34" i="10"/>
  <c r="U33" i="10"/>
  <c r="L33" i="10"/>
  <c r="G33" i="10"/>
  <c r="W33" i="10" s="1"/>
  <c r="D33" i="3" s="1"/>
  <c r="U32" i="10"/>
  <c r="L32" i="10"/>
  <c r="G32" i="10"/>
  <c r="U31" i="10"/>
  <c r="L31" i="10"/>
  <c r="G31" i="10"/>
  <c r="W31" i="10" s="1"/>
  <c r="D31" i="3" s="1"/>
  <c r="U30" i="10"/>
  <c r="L30" i="10"/>
  <c r="G30" i="10"/>
  <c r="U29" i="10"/>
  <c r="L29" i="10"/>
  <c r="G29" i="10"/>
  <c r="W29" i="10" s="1"/>
  <c r="D29" i="3" s="1"/>
  <c r="U28" i="10"/>
  <c r="L28" i="10"/>
  <c r="G28" i="10"/>
  <c r="U27" i="10"/>
  <c r="L27" i="10"/>
  <c r="G27" i="10"/>
  <c r="W27" i="10" s="1"/>
  <c r="D27" i="3" s="1"/>
  <c r="U26" i="10"/>
  <c r="L26" i="10"/>
  <c r="G26" i="10"/>
  <c r="U25" i="10"/>
  <c r="L25" i="10"/>
  <c r="G25" i="10"/>
  <c r="W25" i="10" s="1"/>
  <c r="D25" i="3" s="1"/>
  <c r="U24" i="10"/>
  <c r="L24" i="10"/>
  <c r="G24" i="10"/>
  <c r="U23" i="10"/>
  <c r="L23" i="10"/>
  <c r="G23" i="10"/>
  <c r="W23" i="10" s="1"/>
  <c r="D23" i="3" s="1"/>
  <c r="U22" i="10"/>
  <c r="L22" i="10"/>
  <c r="G22" i="10"/>
  <c r="U21" i="10"/>
  <c r="L21" i="10"/>
  <c r="G21" i="10"/>
  <c r="W21" i="10" s="1"/>
  <c r="D21" i="3" s="1"/>
  <c r="U20" i="10"/>
  <c r="L20" i="10"/>
  <c r="G20" i="10"/>
  <c r="U19" i="10"/>
  <c r="L19" i="10"/>
  <c r="G19" i="10"/>
  <c r="W19" i="10" s="1"/>
  <c r="D19" i="3" s="1"/>
  <c r="U18" i="10"/>
  <c r="L18" i="10"/>
  <c r="G18" i="10"/>
  <c r="U17" i="10"/>
  <c r="L17" i="10"/>
  <c r="G17" i="10"/>
  <c r="W17" i="10" s="1"/>
  <c r="D17" i="3" s="1"/>
  <c r="U16" i="10"/>
  <c r="L16" i="10"/>
  <c r="G16" i="10"/>
  <c r="U15" i="10"/>
  <c r="L15" i="10"/>
  <c r="G15" i="10"/>
  <c r="W15" i="10" s="1"/>
  <c r="D15" i="3" s="1"/>
  <c r="U14" i="10"/>
  <c r="L14" i="10"/>
  <c r="G14" i="10"/>
  <c r="U13" i="10"/>
  <c r="L13" i="10"/>
  <c r="G13" i="10"/>
  <c r="W13" i="10" s="1"/>
  <c r="D13" i="3" s="1"/>
  <c r="U12" i="10"/>
  <c r="L12" i="10"/>
  <c r="G12" i="10"/>
  <c r="U11" i="10"/>
  <c r="L11" i="10"/>
  <c r="G11" i="10"/>
  <c r="W11" i="10" s="1"/>
  <c r="D11" i="3" s="1"/>
  <c r="U10" i="10"/>
  <c r="L10" i="10"/>
  <c r="G10" i="10"/>
  <c r="U9" i="10"/>
  <c r="L9" i="10"/>
  <c r="G9" i="10"/>
  <c r="W9" i="10" s="1"/>
  <c r="D9" i="3" s="1"/>
  <c r="U8" i="10"/>
  <c r="L8" i="10"/>
  <c r="G8" i="10"/>
  <c r="U7" i="10"/>
  <c r="L7" i="10"/>
  <c r="G7" i="10"/>
  <c r="W7" i="10" s="1"/>
  <c r="D7" i="3" s="1"/>
  <c r="U6" i="10"/>
  <c r="L6" i="10"/>
  <c r="G6" i="10"/>
  <c r="U5" i="10"/>
  <c r="L5" i="10"/>
  <c r="G5" i="10"/>
  <c r="W5" i="10" s="1"/>
  <c r="D5" i="3" s="1"/>
  <c r="U4" i="10"/>
  <c r="L4" i="10"/>
  <c r="G4" i="10"/>
  <c r="U3" i="10"/>
  <c r="L3" i="10"/>
  <c r="G3" i="10"/>
  <c r="W4" i="10" l="1"/>
  <c r="D4" i="3" s="1"/>
  <c r="W8" i="10"/>
  <c r="D8" i="3" s="1"/>
  <c r="W12" i="10"/>
  <c r="D12" i="3" s="1"/>
  <c r="W16" i="10"/>
  <c r="D16" i="3" s="1"/>
  <c r="W20" i="10"/>
  <c r="D20" i="3" s="1"/>
  <c r="W24" i="10"/>
  <c r="D24" i="3" s="1"/>
  <c r="W28" i="10"/>
  <c r="D28" i="3" s="1"/>
  <c r="W32" i="10"/>
  <c r="D32" i="3" s="1"/>
  <c r="W36" i="10"/>
  <c r="D36" i="3" s="1"/>
  <c r="W40" i="10"/>
  <c r="D40" i="3" s="1"/>
  <c r="W6" i="10"/>
  <c r="D6" i="3" s="1"/>
  <c r="W10" i="10"/>
  <c r="D10" i="3" s="1"/>
  <c r="W14" i="10"/>
  <c r="D14" i="3" s="1"/>
  <c r="W18" i="10"/>
  <c r="D18" i="3" s="1"/>
  <c r="W22" i="10"/>
  <c r="D22" i="3" s="1"/>
  <c r="W26" i="10"/>
  <c r="D26" i="3" s="1"/>
  <c r="W30" i="10"/>
  <c r="D30" i="3" s="1"/>
  <c r="W34" i="10"/>
  <c r="D34" i="3" s="1"/>
  <c r="W38" i="10"/>
  <c r="D38" i="3" s="1"/>
  <c r="W3" i="10"/>
  <c r="D3" i="3" s="1"/>
  <c r="G40" i="9"/>
  <c r="V40" i="9" s="1"/>
  <c r="G39" i="9"/>
  <c r="V39" i="9" s="1"/>
  <c r="G38" i="9"/>
  <c r="G37" i="9"/>
  <c r="V37" i="9" s="1"/>
  <c r="G36" i="9"/>
  <c r="G35" i="9"/>
  <c r="V35" i="9" s="1"/>
  <c r="G34" i="9"/>
  <c r="G33" i="9"/>
  <c r="V33" i="9" s="1"/>
  <c r="G32" i="9"/>
  <c r="V32" i="9" s="1"/>
  <c r="G31" i="9"/>
  <c r="V31" i="9" s="1"/>
  <c r="G30" i="9"/>
  <c r="G29" i="9"/>
  <c r="G28" i="9"/>
  <c r="G27" i="9"/>
  <c r="G26" i="9"/>
  <c r="V26" i="9" s="1"/>
  <c r="G25" i="9"/>
  <c r="G24" i="9"/>
  <c r="G23" i="9"/>
  <c r="G22" i="9"/>
  <c r="G21" i="9"/>
  <c r="V21" i="9" s="1"/>
  <c r="G20" i="9"/>
  <c r="G19" i="9"/>
  <c r="V19" i="9" s="1"/>
  <c r="G18" i="9"/>
  <c r="V18" i="9" s="1"/>
  <c r="G17" i="9"/>
  <c r="V17" i="9" s="1"/>
  <c r="G16" i="9"/>
  <c r="G15" i="9"/>
  <c r="V15" i="9" s="1"/>
  <c r="G14" i="9"/>
  <c r="G13" i="9"/>
  <c r="V13" i="9" s="1"/>
  <c r="G12" i="9"/>
  <c r="G11" i="9"/>
  <c r="G10" i="9"/>
  <c r="G9" i="9"/>
  <c r="G8" i="9"/>
  <c r="G7" i="9"/>
  <c r="G6" i="9"/>
  <c r="V6" i="9" s="1"/>
  <c r="G5" i="9"/>
  <c r="V5" i="9" s="1"/>
  <c r="G4" i="9"/>
  <c r="G3" i="9"/>
  <c r="V3" i="9" s="1"/>
  <c r="L3" i="9"/>
  <c r="L4" i="9"/>
  <c r="L5" i="9"/>
  <c r="L6" i="9"/>
  <c r="L7" i="9"/>
  <c r="L8" i="9"/>
  <c r="L9" i="9"/>
  <c r="L10" i="9"/>
  <c r="L11" i="9"/>
  <c r="L12" i="9"/>
  <c r="L13" i="9"/>
  <c r="L14" i="9"/>
  <c r="L15" i="9"/>
  <c r="L16" i="9"/>
  <c r="L17" i="9"/>
  <c r="L18" i="9"/>
  <c r="L19" i="9"/>
  <c r="L20" i="9"/>
  <c r="L21" i="9"/>
  <c r="L22" i="9"/>
  <c r="L23" i="9"/>
  <c r="L24" i="9"/>
  <c r="L25" i="9"/>
  <c r="L26" i="9"/>
  <c r="L27" i="9"/>
  <c r="L28" i="9"/>
  <c r="L29" i="9"/>
  <c r="L30" i="9"/>
  <c r="L31" i="9"/>
  <c r="L32" i="9"/>
  <c r="L33" i="9"/>
  <c r="L34" i="9"/>
  <c r="L35" i="9"/>
  <c r="L36" i="9"/>
  <c r="L37" i="9"/>
  <c r="L38" i="9"/>
  <c r="L39" i="9"/>
  <c r="T3" i="9"/>
  <c r="T4" i="9"/>
  <c r="T5" i="9"/>
  <c r="T6" i="9"/>
  <c r="T7" i="9"/>
  <c r="T8" i="9"/>
  <c r="T9" i="9"/>
  <c r="T10" i="9"/>
  <c r="T11" i="9"/>
  <c r="T12" i="9"/>
  <c r="T13" i="9"/>
  <c r="T14" i="9"/>
  <c r="T15" i="9"/>
  <c r="T16" i="9"/>
  <c r="T17" i="9"/>
  <c r="T18" i="9"/>
  <c r="T19" i="9"/>
  <c r="T20" i="9"/>
  <c r="T21" i="9"/>
  <c r="T22" i="9"/>
  <c r="T23" i="9"/>
  <c r="T24" i="9"/>
  <c r="T25" i="9"/>
  <c r="T26" i="9"/>
  <c r="T27" i="9"/>
  <c r="T28" i="9"/>
  <c r="T29" i="9"/>
  <c r="T30" i="9"/>
  <c r="T31" i="9"/>
  <c r="T32" i="9"/>
  <c r="T33" i="9"/>
  <c r="T34" i="9"/>
  <c r="T35" i="9"/>
  <c r="T36" i="9"/>
  <c r="T37" i="9"/>
  <c r="T38" i="9"/>
  <c r="T39" i="9"/>
  <c r="T40" i="9"/>
  <c r="L40" i="9"/>
  <c r="C3" i="3" l="1"/>
  <c r="G3" i="3" s="1"/>
  <c r="C5" i="3"/>
  <c r="C9" i="3"/>
  <c r="C13" i="3"/>
  <c r="G13" i="3" s="1"/>
  <c r="C17" i="3"/>
  <c r="G17" i="3" s="1"/>
  <c r="C21" i="3"/>
  <c r="G21" i="3" s="1"/>
  <c r="C25" i="3"/>
  <c r="G25" i="3" s="1"/>
  <c r="C29" i="3"/>
  <c r="G29" i="3" s="1"/>
  <c r="C33" i="3"/>
  <c r="G33" i="3" s="1"/>
  <c r="C37" i="3"/>
  <c r="G37" i="3" s="1"/>
  <c r="C6" i="3"/>
  <c r="G6" i="3" s="1"/>
  <c r="C10" i="3"/>
  <c r="G10" i="3" s="1"/>
  <c r="C14" i="3"/>
  <c r="G14" i="3" s="1"/>
  <c r="C18" i="3"/>
  <c r="G18" i="3" s="1"/>
  <c r="C22" i="3"/>
  <c r="G22" i="3" s="1"/>
  <c r="C26" i="3"/>
  <c r="G26" i="3" s="1"/>
  <c r="C30" i="3"/>
  <c r="G30" i="3" s="1"/>
  <c r="C34" i="3"/>
  <c r="G34" i="3" s="1"/>
  <c r="C38" i="3"/>
  <c r="G38" i="3" s="1"/>
  <c r="C7" i="3"/>
  <c r="G7" i="3" s="1"/>
  <c r="C11" i="3"/>
  <c r="G11" i="3" s="1"/>
  <c r="C15" i="3"/>
  <c r="G15" i="3" s="1"/>
  <c r="C19" i="3"/>
  <c r="G19" i="3" s="1"/>
  <c r="C23" i="3"/>
  <c r="G23" i="3" s="1"/>
  <c r="C27" i="3"/>
  <c r="G27" i="3" s="1"/>
  <c r="C31" i="3"/>
  <c r="G31" i="3" s="1"/>
  <c r="C35" i="3"/>
  <c r="G35" i="3" s="1"/>
  <c r="C39" i="3"/>
  <c r="G39" i="3" s="1"/>
  <c r="C4" i="3"/>
  <c r="G4" i="3" s="1"/>
  <c r="C8" i="3"/>
  <c r="G8" i="3" s="1"/>
  <c r="C12" i="3"/>
  <c r="G12" i="3" s="1"/>
  <c r="C16" i="3"/>
  <c r="G16" i="3" s="1"/>
  <c r="C20" i="3"/>
  <c r="G20" i="3" s="1"/>
  <c r="C24" i="3"/>
  <c r="G24" i="3" s="1"/>
  <c r="C28" i="3"/>
  <c r="G28" i="3" s="1"/>
  <c r="C32" i="3"/>
  <c r="G32" i="3" s="1"/>
  <c r="C36" i="3"/>
  <c r="G36" i="3" s="1"/>
  <c r="C40" i="3"/>
  <c r="G40" i="3" s="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3" i="1"/>
  <c r="E40" i="1" l="1"/>
  <c r="B40" i="1"/>
  <c r="H40" i="1" s="1"/>
  <c r="D40" i="1"/>
  <c r="S40" i="1" l="1"/>
  <c r="B40" i="3" s="1"/>
  <c r="U4" i="6"/>
  <c r="E4" i="1" s="1"/>
  <c r="U5" i="6"/>
  <c r="E5" i="1" s="1"/>
  <c r="U6" i="6"/>
  <c r="E6" i="1" s="1"/>
  <c r="U7" i="6"/>
  <c r="E7" i="1" s="1"/>
  <c r="U8" i="6"/>
  <c r="E8" i="1" s="1"/>
  <c r="U9" i="6"/>
  <c r="E9" i="1" s="1"/>
  <c r="U10" i="6"/>
  <c r="E10" i="1" s="1"/>
  <c r="U11" i="6"/>
  <c r="E11" i="1" s="1"/>
  <c r="U12" i="6"/>
  <c r="E12" i="1" s="1"/>
  <c r="U13" i="6"/>
  <c r="E13" i="1" s="1"/>
  <c r="U14" i="6"/>
  <c r="E14" i="1" s="1"/>
  <c r="U15" i="6"/>
  <c r="E15" i="1" s="1"/>
  <c r="U16" i="6"/>
  <c r="E16" i="1" s="1"/>
  <c r="U17" i="6"/>
  <c r="E17" i="1" s="1"/>
  <c r="U18" i="6"/>
  <c r="E18" i="1" s="1"/>
  <c r="U19" i="6"/>
  <c r="E19" i="1" s="1"/>
  <c r="U20" i="6"/>
  <c r="E20" i="1" s="1"/>
  <c r="U21" i="6"/>
  <c r="E21" i="1" s="1"/>
  <c r="U22" i="6"/>
  <c r="E22" i="1" s="1"/>
  <c r="U23" i="6"/>
  <c r="E23" i="1" s="1"/>
  <c r="U24" i="6"/>
  <c r="E24" i="1" s="1"/>
  <c r="U25" i="6"/>
  <c r="E25" i="1" s="1"/>
  <c r="U26" i="6"/>
  <c r="E26" i="1" s="1"/>
  <c r="U27" i="6"/>
  <c r="E27" i="1" s="1"/>
  <c r="U28" i="6"/>
  <c r="E28" i="1" s="1"/>
  <c r="U29" i="6"/>
  <c r="E29" i="1" s="1"/>
  <c r="U30" i="6"/>
  <c r="E30" i="1" s="1"/>
  <c r="U31" i="6"/>
  <c r="E31" i="1" s="1"/>
  <c r="U32" i="6"/>
  <c r="E32" i="1" s="1"/>
  <c r="U33" i="6"/>
  <c r="E33" i="1" s="1"/>
  <c r="U34" i="6"/>
  <c r="E34" i="1" s="1"/>
  <c r="U35" i="6"/>
  <c r="E35" i="1" s="1"/>
  <c r="U36" i="6"/>
  <c r="E36" i="1" s="1"/>
  <c r="U37" i="6"/>
  <c r="E37" i="1" s="1"/>
  <c r="U38" i="6"/>
  <c r="E38" i="1" s="1"/>
  <c r="U39" i="6"/>
  <c r="E39" i="1" s="1"/>
  <c r="U3" i="6"/>
  <c r="E3" i="1" s="1"/>
  <c r="N37" i="6"/>
  <c r="N38" i="6"/>
  <c r="N39" i="6"/>
  <c r="G37" i="6"/>
  <c r="G38" i="6"/>
  <c r="G39" i="6"/>
  <c r="D37" i="1" l="1"/>
  <c r="D38" i="1"/>
  <c r="D39" i="1"/>
  <c r="B37" i="1"/>
  <c r="H37" i="1" s="1"/>
  <c r="B38" i="1"/>
  <c r="H38" i="1" s="1"/>
  <c r="B39" i="1"/>
  <c r="H39" i="1" s="1"/>
  <c r="S38" i="1" l="1"/>
  <c r="B38" i="3" s="1"/>
  <c r="S37" i="1"/>
  <c r="B37" i="3" s="1"/>
  <c r="S39" i="1"/>
  <c r="B39" i="3" s="1"/>
  <c r="N4" i="6"/>
  <c r="D4" i="1" s="1"/>
  <c r="N5" i="6"/>
  <c r="D5" i="1" s="1"/>
  <c r="N6" i="6"/>
  <c r="D6" i="1" s="1"/>
  <c r="N7" i="6"/>
  <c r="D7" i="1" s="1"/>
  <c r="N8" i="6"/>
  <c r="D8" i="1" s="1"/>
  <c r="N9" i="6"/>
  <c r="D9" i="1" s="1"/>
  <c r="N10" i="6"/>
  <c r="D10" i="1" s="1"/>
  <c r="N11" i="6"/>
  <c r="D11" i="1" s="1"/>
  <c r="N12" i="6"/>
  <c r="D12" i="1" s="1"/>
  <c r="N13" i="6"/>
  <c r="D13" i="1" s="1"/>
  <c r="N14" i="6"/>
  <c r="D14" i="1" s="1"/>
  <c r="N15" i="6"/>
  <c r="D15" i="1" s="1"/>
  <c r="N16" i="6"/>
  <c r="D16" i="1" s="1"/>
  <c r="N17" i="6"/>
  <c r="D17" i="1" s="1"/>
  <c r="N18" i="6"/>
  <c r="D18" i="1" s="1"/>
  <c r="N19" i="6"/>
  <c r="D19" i="1" s="1"/>
  <c r="N20" i="6"/>
  <c r="D20" i="1" s="1"/>
  <c r="N21" i="6"/>
  <c r="D21" i="1" s="1"/>
  <c r="N22" i="6"/>
  <c r="D22" i="1" s="1"/>
  <c r="N23" i="6"/>
  <c r="D23" i="1" s="1"/>
  <c r="N24" i="6"/>
  <c r="D24" i="1" s="1"/>
  <c r="N25" i="6"/>
  <c r="D25" i="1" s="1"/>
  <c r="N26" i="6"/>
  <c r="D26" i="1" s="1"/>
  <c r="N27" i="6"/>
  <c r="D27" i="1" s="1"/>
  <c r="N28" i="6"/>
  <c r="D28" i="1" s="1"/>
  <c r="N29" i="6"/>
  <c r="D29" i="1" s="1"/>
  <c r="N30" i="6"/>
  <c r="D30" i="1" s="1"/>
  <c r="N31" i="6"/>
  <c r="D31" i="1" s="1"/>
  <c r="N32" i="6"/>
  <c r="D32" i="1" s="1"/>
  <c r="N33" i="6"/>
  <c r="D33" i="1" s="1"/>
  <c r="N34" i="6"/>
  <c r="D34" i="1" s="1"/>
  <c r="N35" i="6"/>
  <c r="D35" i="1" s="1"/>
  <c r="N36" i="6"/>
  <c r="D36" i="1" s="1"/>
  <c r="N3" i="6"/>
  <c r="D3" i="1" s="1"/>
  <c r="G36" i="6" l="1"/>
  <c r="B36" i="1" l="1"/>
  <c r="G11" i="6"/>
  <c r="B11" i="1"/>
  <c r="H11" i="1" s="1"/>
  <c r="G4" i="6"/>
  <c r="B4" i="1" s="1"/>
  <c r="H4" i="1" s="1"/>
  <c r="G5" i="6"/>
  <c r="B5" i="1" s="1"/>
  <c r="H5" i="1" s="1"/>
  <c r="G6" i="6"/>
  <c r="B6" i="1" s="1"/>
  <c r="H6" i="1" s="1"/>
  <c r="G7" i="6"/>
  <c r="B7" i="1" s="1"/>
  <c r="H7" i="1" s="1"/>
  <c r="G8" i="6"/>
  <c r="B8" i="1" s="1"/>
  <c r="H8" i="1" s="1"/>
  <c r="G9" i="6"/>
  <c r="B9" i="1" s="1"/>
  <c r="H9" i="1" s="1"/>
  <c r="G10" i="6"/>
  <c r="B10" i="1" s="1"/>
  <c r="H10" i="1" s="1"/>
  <c r="G12" i="6"/>
  <c r="B12" i="1" s="1"/>
  <c r="H12" i="1" s="1"/>
  <c r="G13" i="6"/>
  <c r="B13" i="1" s="1"/>
  <c r="H13" i="1" s="1"/>
  <c r="G14" i="6"/>
  <c r="B14" i="1" s="1"/>
  <c r="H14" i="1" s="1"/>
  <c r="G15" i="6"/>
  <c r="B15" i="1" s="1"/>
  <c r="H15" i="1" s="1"/>
  <c r="G16" i="6"/>
  <c r="B16" i="1" s="1"/>
  <c r="H16" i="1" s="1"/>
  <c r="G17" i="6"/>
  <c r="B17" i="1" s="1"/>
  <c r="H17" i="1" s="1"/>
  <c r="G18" i="6"/>
  <c r="B18" i="1" s="1"/>
  <c r="H18" i="1" s="1"/>
  <c r="G19" i="6"/>
  <c r="B19" i="1" s="1"/>
  <c r="H19" i="1" s="1"/>
  <c r="G20" i="6"/>
  <c r="B20" i="1" s="1"/>
  <c r="H20" i="1" s="1"/>
  <c r="G21" i="6"/>
  <c r="B21" i="1" s="1"/>
  <c r="H21" i="1" s="1"/>
  <c r="G22" i="6"/>
  <c r="B22" i="1" s="1"/>
  <c r="H22" i="1" s="1"/>
  <c r="G23" i="6"/>
  <c r="B23" i="1" s="1"/>
  <c r="H23" i="1" s="1"/>
  <c r="G24" i="6"/>
  <c r="B24" i="1" s="1"/>
  <c r="H24" i="1" s="1"/>
  <c r="G25" i="6"/>
  <c r="B25" i="1" s="1"/>
  <c r="H25" i="1" s="1"/>
  <c r="G26" i="6"/>
  <c r="B26" i="1" s="1"/>
  <c r="H26" i="1" s="1"/>
  <c r="G27" i="6"/>
  <c r="B27" i="1" s="1"/>
  <c r="H27" i="1" s="1"/>
  <c r="G28" i="6"/>
  <c r="B28" i="1" s="1"/>
  <c r="H28" i="1" s="1"/>
  <c r="G29" i="6"/>
  <c r="B29" i="1" s="1"/>
  <c r="H29" i="1" s="1"/>
  <c r="G30" i="6"/>
  <c r="B30" i="1" s="1"/>
  <c r="H30" i="1" s="1"/>
  <c r="G31" i="6"/>
  <c r="B31" i="1" s="1"/>
  <c r="H31" i="1" s="1"/>
  <c r="G32" i="6"/>
  <c r="G33" i="6"/>
  <c r="G34" i="6"/>
  <c r="G35" i="6"/>
  <c r="G3" i="6"/>
  <c r="B3" i="1" s="1"/>
  <c r="H3" i="1" s="1"/>
  <c r="H36" i="1" l="1"/>
  <c r="S36" i="1" s="1"/>
  <c r="B36" i="3" s="1"/>
  <c r="B35" i="1"/>
  <c r="B34" i="1"/>
  <c r="B33" i="1"/>
  <c r="B32" i="1"/>
  <c r="H33" i="1" l="1"/>
  <c r="S33" i="1" s="1"/>
  <c r="B33" i="3" s="1"/>
  <c r="H35" i="1"/>
  <c r="S35" i="1" s="1"/>
  <c r="B35" i="3" s="1"/>
  <c r="H32" i="1"/>
  <c r="S32" i="1" s="1"/>
  <c r="B32" i="3" s="1"/>
  <c r="H34" i="1"/>
  <c r="S34" i="1" s="1"/>
  <c r="B34" i="3" s="1"/>
  <c r="S20" i="1"/>
  <c r="B20" i="3" s="1"/>
  <c r="S12" i="1"/>
  <c r="B12" i="3" s="1"/>
  <c r="S19" i="1"/>
  <c r="B19" i="3" s="1"/>
  <c r="S21" i="1"/>
  <c r="B21" i="3" s="1"/>
  <c r="S31" i="1"/>
  <c r="B31" i="3" s="1"/>
  <c r="S30" i="1"/>
  <c r="B30" i="3" s="1"/>
  <c r="S29" i="1"/>
  <c r="B29" i="3" s="1"/>
  <c r="S28" i="1"/>
  <c r="B28" i="3" s="1"/>
  <c r="S27" i="1"/>
  <c r="B27" i="3" s="1"/>
  <c r="S26" i="1"/>
  <c r="B26" i="3" s="1"/>
  <c r="S25" i="1"/>
  <c r="B25" i="3" s="1"/>
  <c r="S24" i="1"/>
  <c r="B24" i="3" s="1"/>
  <c r="S23" i="1"/>
  <c r="B23" i="3" s="1"/>
  <c r="S22" i="1"/>
  <c r="B22" i="3" s="1"/>
  <c r="S18" i="1"/>
  <c r="B18" i="3" s="1"/>
  <c r="S17" i="1"/>
  <c r="B17" i="3" s="1"/>
  <c r="S16" i="1"/>
  <c r="B16" i="3" s="1"/>
  <c r="S15" i="1"/>
  <c r="B15" i="3" s="1"/>
  <c r="S14" i="1"/>
  <c r="B14" i="3" s="1"/>
  <c r="S13" i="1"/>
  <c r="B13" i="3" s="1"/>
  <c r="S11" i="1"/>
  <c r="B11" i="3" s="1"/>
  <c r="S8" i="1"/>
  <c r="B8" i="3" s="1"/>
  <c r="S4" i="1"/>
  <c r="B4" i="3" s="1"/>
  <c r="S10" i="1"/>
  <c r="B10" i="3" s="1"/>
  <c r="S6" i="1"/>
  <c r="B6" i="3" s="1"/>
  <c r="S9" i="1"/>
  <c r="B9" i="3" s="1"/>
  <c r="G9" i="3" s="1"/>
  <c r="S5" i="1"/>
  <c r="B5" i="3" s="1"/>
  <c r="G5" i="3" s="1"/>
  <c r="S3" i="1"/>
  <c r="B3" i="3" s="1"/>
  <c r="S7" i="1"/>
  <c r="B7" i="3" s="1"/>
</calcChain>
</file>

<file path=xl/comments1.xml><?xml version="1.0" encoding="utf-8"?>
<comments xmlns="http://schemas.openxmlformats.org/spreadsheetml/2006/main">
  <authors>
    <author>adminIS</author>
  </authors>
  <commentList>
    <comment ref="D2" authorId="0">
      <text>
        <r>
          <rPr>
            <b/>
            <sz val="9"/>
            <color indexed="81"/>
            <rFont val="Tahoma"/>
            <family val="2"/>
          </rPr>
          <t xml:space="preserve">*Califación incompleta
Las calificaciones aquí mostradas se han calculado asumiendo una nota máxima (100) en aquellas características que no han sido evaluadas. Tome éstas con la debida cautela y responsabilidad. 
Si tiene alguna duda respecto a la calificación asignada en alguno de los ítems, se le sugiere en un primer momento revisar los criterios de evaluación expuestos en la página del curso.  Si lo anterior no resuelve su duda, por favor envíe un e-mail al correo de trabajo con el siguiente asunto: ACLARACIÓN DE NOTAS, y exponga en este lo más claro posible su duda, incluyendo el parcial correspondiente, el número de tarea, examen parcial o exámen rápido en cuestión.
</t>
        </r>
      </text>
    </comment>
    <comment ref="E2" authorId="0">
      <text>
        <r>
          <rPr>
            <b/>
            <sz val="9"/>
            <color indexed="81"/>
            <rFont val="Tahoma"/>
            <family val="2"/>
          </rPr>
          <t xml:space="preserve">*Califación incompleta
Las calificaciones aquí mostradas se han calculado asumiendo una nota máxima (100) en aquellas características que no han sido evaluadas. Tome éstas con la debida cautela y responsabilidad. 
Si tiene alguna duda respecto a la calificación asignada en alguno de los ítems, se le sugiere en un primer momento revisar los criterios de evaluación expuestos en la página del curso.  Si lo anterior no resuelve su duda, por favor envíe un e-mail al correo de trabajo con el siguiente asunto: ACLARACIÓN DE NOTAS, y exponga en este lo más claro posible su duda, incluyendo el parcial correspondiente, el número de tarea, examen parcial o exámen rápido en cuestión.
</t>
        </r>
      </text>
    </comment>
  </commentList>
</comments>
</file>

<file path=xl/comments2.xml><?xml version="1.0" encoding="utf-8"?>
<comments xmlns="http://schemas.openxmlformats.org/spreadsheetml/2006/main">
  <authors>
    <author>adminIS</author>
  </authors>
  <commentList>
    <comment ref="B2" authorId="0">
      <text>
        <r>
          <rPr>
            <b/>
            <sz val="9"/>
            <color indexed="81"/>
            <rFont val="Tahoma"/>
            <family val="2"/>
          </rPr>
          <t>Ensayo de tensión</t>
        </r>
      </text>
    </comment>
    <comment ref="C2" authorId="0">
      <text>
        <r>
          <rPr>
            <b/>
            <sz val="9"/>
            <color indexed="81"/>
            <rFont val="Tahoma"/>
            <family val="2"/>
          </rPr>
          <t xml:space="preserve">Ejercicio </t>
        </r>
      </text>
    </comment>
    <comment ref="D2" authorId="0">
      <text>
        <r>
          <rPr>
            <b/>
            <sz val="9"/>
            <color indexed="81"/>
            <rFont val="Tahoma"/>
            <family val="2"/>
          </rPr>
          <t>Ley de Hooke multiaxial y relación de Poisson</t>
        </r>
      </text>
    </comment>
    <comment ref="E2" authorId="0">
      <text>
        <r>
          <rPr>
            <b/>
            <sz val="9"/>
            <color indexed="81"/>
            <rFont val="Tahoma"/>
            <family val="2"/>
          </rPr>
          <t>Esfuerzos térmicos</t>
        </r>
      </text>
    </comment>
    <comment ref="F2" authorId="0">
      <text>
        <r>
          <rPr>
            <b/>
            <sz val="9"/>
            <color indexed="81"/>
            <rFont val="Tahoma"/>
            <family val="2"/>
          </rPr>
          <t>4 ejercicios</t>
        </r>
      </text>
    </comment>
    <comment ref="G2" authorId="0">
      <text>
        <r>
          <rPr>
            <b/>
            <sz val="9"/>
            <color indexed="81"/>
            <rFont val="Tahoma"/>
            <family val="2"/>
          </rPr>
          <t>Problemario</t>
        </r>
      </text>
    </comment>
    <comment ref="F3" authorId="0">
      <text>
        <r>
          <rPr>
            <b/>
            <sz val="9"/>
            <color indexed="81"/>
            <rFont val="Tahoma"/>
            <family val="2"/>
          </rPr>
          <t>NR</t>
        </r>
      </text>
    </comment>
    <comment ref="F14" authorId="0">
      <text>
        <r>
          <rPr>
            <b/>
            <sz val="9"/>
            <color indexed="81"/>
            <rFont val="Tahoma"/>
            <family val="2"/>
          </rPr>
          <t>NR</t>
        </r>
      </text>
    </comment>
    <comment ref="F15" authorId="0">
      <text>
        <r>
          <rPr>
            <b/>
            <sz val="9"/>
            <color indexed="81"/>
            <rFont val="Tahoma"/>
            <family val="2"/>
          </rPr>
          <t>NR</t>
        </r>
      </text>
    </comment>
    <comment ref="F20" authorId="0">
      <text>
        <r>
          <rPr>
            <b/>
            <sz val="9"/>
            <color indexed="81"/>
            <rFont val="Tahoma"/>
            <family val="2"/>
          </rPr>
          <t>NR</t>
        </r>
      </text>
    </comment>
    <comment ref="O35" authorId="0">
      <text>
        <r>
          <rPr>
            <b/>
            <sz val="9"/>
            <color indexed="81"/>
            <rFont val="Tahoma"/>
            <family val="2"/>
          </rPr>
          <t>No examen</t>
        </r>
      </text>
    </comment>
  </commentList>
</comments>
</file>

<file path=xl/comments3.xml><?xml version="1.0" encoding="utf-8"?>
<comments xmlns="http://schemas.openxmlformats.org/spreadsheetml/2006/main">
  <authors>
    <author>adminIS</author>
  </authors>
  <commentList>
    <comment ref="B1" authorId="0">
      <text>
        <r>
          <rPr>
            <b/>
            <sz val="9"/>
            <color indexed="81"/>
            <rFont val="Tahoma"/>
            <family val="2"/>
          </rPr>
          <t>Reporte de la Unidad Temática II
Criterios evaluados: Los mismos que para el caso de las tareas.</t>
        </r>
      </text>
    </comment>
    <comment ref="R18" authorId="0">
      <text>
        <r>
          <rPr>
            <b/>
            <sz val="9"/>
            <color indexed="81"/>
            <rFont val="Tahoma"/>
            <family val="2"/>
          </rPr>
          <t>No examen</t>
        </r>
      </text>
    </comment>
    <comment ref="I35" authorId="0">
      <text>
        <r>
          <rPr>
            <b/>
            <sz val="9"/>
            <color indexed="81"/>
            <rFont val="Tahoma"/>
            <family val="2"/>
          </rPr>
          <t>NP</t>
        </r>
      </text>
    </comment>
    <comment ref="J35" authorId="0">
      <text>
        <r>
          <rPr>
            <b/>
            <sz val="9"/>
            <color indexed="81"/>
            <rFont val="Tahoma"/>
            <family val="2"/>
          </rPr>
          <t>NP</t>
        </r>
      </text>
    </comment>
    <comment ref="K35" authorId="0">
      <text>
        <r>
          <rPr>
            <b/>
            <sz val="9"/>
            <color indexed="81"/>
            <rFont val="Tahoma"/>
            <family val="2"/>
          </rPr>
          <t>NP</t>
        </r>
      </text>
    </comment>
    <comment ref="R35" authorId="0">
      <text>
        <r>
          <rPr>
            <b/>
            <sz val="9"/>
            <color indexed="81"/>
            <rFont val="Tahoma"/>
            <family val="2"/>
          </rPr>
          <t>No examen</t>
        </r>
      </text>
    </comment>
  </commentList>
</comments>
</file>

<file path=xl/comments4.xml><?xml version="1.0" encoding="utf-8"?>
<comments xmlns="http://schemas.openxmlformats.org/spreadsheetml/2006/main">
  <authors>
    <author>adminIS</author>
  </authors>
  <commentList>
    <comment ref="B1" authorId="0">
      <text>
        <r>
          <rPr>
            <b/>
            <sz val="9"/>
            <color indexed="81"/>
            <rFont val="Tahoma"/>
            <family val="2"/>
          </rPr>
          <t>Reporte de la Unidad Temática III
Criterios evaluados: Los mismos que para el caso de las tareas.</t>
        </r>
      </text>
    </comment>
    <comment ref="R6" authorId="0">
      <text>
        <r>
          <rPr>
            <b/>
            <sz val="9"/>
            <color indexed="81"/>
            <rFont val="Tahoma"/>
            <family val="2"/>
          </rPr>
          <t>NP</t>
        </r>
      </text>
    </comment>
    <comment ref="R18" authorId="0">
      <text>
        <r>
          <rPr>
            <b/>
            <sz val="9"/>
            <color indexed="81"/>
            <rFont val="Tahoma"/>
            <family val="2"/>
          </rPr>
          <t>NP</t>
        </r>
      </text>
    </comment>
    <comment ref="R32" authorId="0">
      <text>
        <r>
          <rPr>
            <b/>
            <sz val="9"/>
            <color indexed="81"/>
            <rFont val="Tahoma"/>
            <family val="2"/>
          </rPr>
          <t>NP</t>
        </r>
      </text>
    </comment>
    <comment ref="R34" authorId="0">
      <text>
        <r>
          <rPr>
            <b/>
            <sz val="9"/>
            <color indexed="81"/>
            <rFont val="Tahoma"/>
            <family val="2"/>
          </rPr>
          <t>NP</t>
        </r>
      </text>
    </comment>
    <comment ref="R35" authorId="0">
      <text>
        <r>
          <rPr>
            <b/>
            <sz val="9"/>
            <color indexed="81"/>
            <rFont val="Tahoma"/>
            <family val="2"/>
          </rPr>
          <t>NP</t>
        </r>
      </text>
    </comment>
    <comment ref="R37" authorId="0">
      <text>
        <r>
          <rPr>
            <b/>
            <sz val="9"/>
            <color indexed="81"/>
            <rFont val="Tahoma"/>
            <family val="2"/>
          </rPr>
          <t>NP</t>
        </r>
      </text>
    </comment>
    <comment ref="R39" authorId="0">
      <text>
        <r>
          <rPr>
            <b/>
            <sz val="9"/>
            <color indexed="81"/>
            <rFont val="Tahoma"/>
            <family val="2"/>
          </rPr>
          <t>NP</t>
        </r>
      </text>
    </comment>
    <comment ref="R40" authorId="0">
      <text>
        <r>
          <rPr>
            <b/>
            <sz val="9"/>
            <color indexed="81"/>
            <rFont val="Tahoma"/>
            <family val="2"/>
          </rPr>
          <t>NP</t>
        </r>
      </text>
    </comment>
  </commentList>
</comments>
</file>

<file path=xl/comments5.xml><?xml version="1.0" encoding="utf-8"?>
<comments xmlns="http://schemas.openxmlformats.org/spreadsheetml/2006/main">
  <authors>
    <author>adminIS</author>
  </authors>
  <commentList>
    <comment ref="D35" authorId="0">
      <text>
        <r>
          <rPr>
            <b/>
            <sz val="9"/>
            <color indexed="81"/>
            <rFont val="Tahoma"/>
            <family val="2"/>
          </rPr>
          <t>NP</t>
        </r>
      </text>
    </comment>
    <comment ref="E35" authorId="0">
      <text>
        <r>
          <rPr>
            <b/>
            <sz val="9"/>
            <color indexed="81"/>
            <rFont val="Tahoma"/>
            <family val="2"/>
          </rPr>
          <t>NP</t>
        </r>
      </text>
    </comment>
    <comment ref="F35" authorId="0">
      <text>
        <r>
          <rPr>
            <b/>
            <sz val="9"/>
            <color indexed="81"/>
            <rFont val="Tahoma"/>
            <family val="2"/>
          </rPr>
          <t>NP</t>
        </r>
      </text>
    </comment>
  </commentList>
</comments>
</file>

<file path=xl/comments6.xml><?xml version="1.0" encoding="utf-8"?>
<comments xmlns="http://schemas.openxmlformats.org/spreadsheetml/2006/main">
  <authors>
    <author>adminIS</author>
  </authors>
  <commentList>
    <comment ref="B1" authorId="0">
      <text>
        <r>
          <rPr>
            <b/>
            <sz val="9"/>
            <color indexed="81"/>
            <rFont val="Tahoma"/>
            <family val="2"/>
          </rPr>
          <t>Ensayo de tensión</t>
        </r>
      </text>
    </comment>
    <comment ref="I1" authorId="0">
      <text>
        <r>
          <rPr>
            <b/>
            <sz val="9"/>
            <color indexed="81"/>
            <rFont val="Tahoma"/>
            <family val="2"/>
          </rPr>
          <t>Ley de Hooke multiaxial y relación de Poisson</t>
        </r>
      </text>
    </comment>
    <comment ref="P1" authorId="0">
      <text>
        <r>
          <rPr>
            <b/>
            <sz val="9"/>
            <color indexed="81"/>
            <rFont val="Tahoma"/>
            <family val="2"/>
          </rPr>
          <t>Esfuerzos térmicos</t>
        </r>
      </text>
    </comment>
    <comment ref="N7" authorId="0">
      <text>
        <r>
          <rPr>
            <b/>
            <sz val="9"/>
            <color indexed="81"/>
            <rFont val="Tahoma"/>
            <family val="2"/>
          </rPr>
          <t xml:space="preserve">El contenido no corresponde con lo que se pidió. </t>
        </r>
      </text>
    </comment>
    <comment ref="G14" authorId="0">
      <text>
        <r>
          <rPr>
            <b/>
            <sz val="9"/>
            <color indexed="81"/>
            <rFont val="Tahoma"/>
            <family val="2"/>
          </rPr>
          <t>Tarea no recibida</t>
        </r>
      </text>
    </comment>
    <comment ref="N14" authorId="0">
      <text>
        <r>
          <rPr>
            <b/>
            <sz val="9"/>
            <color indexed="81"/>
            <rFont val="Tahoma"/>
            <family val="2"/>
          </rPr>
          <t xml:space="preserve">Tarea no recibida
</t>
        </r>
      </text>
    </comment>
  </commentList>
</comments>
</file>

<file path=xl/sharedStrings.xml><?xml version="1.0" encoding="utf-8"?>
<sst xmlns="http://schemas.openxmlformats.org/spreadsheetml/2006/main" count="323" uniqueCount="78">
  <si>
    <t>Montecillo San Elías Hector Manuel</t>
  </si>
  <si>
    <t>Pedraza Hernández José Ramón</t>
  </si>
  <si>
    <t>Espinosa Flores Erasmo</t>
  </si>
  <si>
    <t>Yerena Vera Carlos Alberto</t>
  </si>
  <si>
    <t>Patiño Uribe Fernando</t>
  </si>
  <si>
    <t>García Hernández Victor Daniel</t>
  </si>
  <si>
    <t>Calderon Rangel Hugo Alberto</t>
  </si>
  <si>
    <t>T1</t>
  </si>
  <si>
    <t>Castelán Alva Raúl Alonso</t>
  </si>
  <si>
    <t>Olivares Miranda Diego</t>
  </si>
  <si>
    <t>Gómez Torres David Antonio</t>
  </si>
  <si>
    <t>Valerios Berber Hugo Isaac</t>
  </si>
  <si>
    <t>Patiño Durán Luis Jesús</t>
  </si>
  <si>
    <t>Barragán García Samuel</t>
  </si>
  <si>
    <t>Herrera Álvarez Brian Martin</t>
  </si>
  <si>
    <t>Rico Sánchez Maria Guadalupe</t>
  </si>
  <si>
    <t>Gonzalez Rivera Luis Enrique</t>
  </si>
  <si>
    <t>Pinedo García Gerardo</t>
  </si>
  <si>
    <t>Rangel Pichardo Stefanny Lizet</t>
  </si>
  <si>
    <t>Pérez Montañez María Fernanda</t>
  </si>
  <si>
    <t>Santoyo Cruz Vanessa</t>
  </si>
  <si>
    <t>Hernández Muñoz Brenda</t>
  </si>
  <si>
    <t>Ruelas Amezquita José Rubén</t>
  </si>
  <si>
    <t>Arteaga Herrera Aranza</t>
  </si>
  <si>
    <t>T2</t>
  </si>
  <si>
    <t>T3</t>
  </si>
  <si>
    <t>T4</t>
  </si>
  <si>
    <t>T5</t>
  </si>
  <si>
    <t>ALUMNO</t>
  </si>
  <si>
    <t>García Paramo Antonio</t>
  </si>
  <si>
    <t>TAREAS</t>
  </si>
  <si>
    <t>Q1</t>
  </si>
  <si>
    <t>Q2</t>
  </si>
  <si>
    <t>Q3</t>
  </si>
  <si>
    <t>QUIZ</t>
  </si>
  <si>
    <t>EXAMEN</t>
  </si>
  <si>
    <t>ASISTENCIA</t>
  </si>
  <si>
    <t>NOTA PARCIAL</t>
  </si>
  <si>
    <t>TT</t>
  </si>
  <si>
    <t>TQ</t>
  </si>
  <si>
    <t>Nieto Hernández Emilio</t>
  </si>
  <si>
    <t>Gutiérrez Solorio Raymundo</t>
  </si>
  <si>
    <t>Vázquez Villafuerte Luis Gerardo</t>
  </si>
  <si>
    <t>Rodríguez Chavez Daniel</t>
  </si>
  <si>
    <t>Mendoza Arreguín Gustavo</t>
  </si>
  <si>
    <t>TAREA 1</t>
  </si>
  <si>
    <t>P</t>
  </si>
  <si>
    <t>E</t>
  </si>
  <si>
    <t>C</t>
  </si>
  <si>
    <t>RO</t>
  </si>
  <si>
    <t>R</t>
  </si>
  <si>
    <t>Robles Morales Angel Derian</t>
  </si>
  <si>
    <t>Carmona Garcia Zeltzin Suzett Fela</t>
  </si>
  <si>
    <t>∑</t>
  </si>
  <si>
    <t>Andy Méndez Nuñez</t>
  </si>
  <si>
    <t>TAREA 3</t>
  </si>
  <si>
    <t>Instituto Tecnológico de Celaya
Ingeniería Mecatrónica
Mecánica de Materiales (Enero-Junio 2017)</t>
  </si>
  <si>
    <t>PX*</t>
  </si>
  <si>
    <t>Maldonado Rivera Patricio</t>
  </si>
  <si>
    <t>Pérez Gámez Cruz Humberto</t>
  </si>
  <si>
    <t>Rodríguez Berra Axel Alejandro</t>
  </si>
  <si>
    <t>Thome Benitez Francisco</t>
  </si>
  <si>
    <t>Servín Ambríz Eliseo</t>
  </si>
  <si>
    <t>TAREA 4</t>
  </si>
  <si>
    <t>REPORTE UII</t>
  </si>
  <si>
    <t>Ruelas Amézquita José Rubén</t>
  </si>
  <si>
    <t>Gómez Rodríguez Frederick</t>
  </si>
  <si>
    <t>T6</t>
  </si>
  <si>
    <t>PROYECTO</t>
  </si>
  <si>
    <t>P1</t>
  </si>
  <si>
    <t>PROBLEMARIO</t>
  </si>
  <si>
    <t>STD</t>
  </si>
  <si>
    <t>P3*</t>
  </si>
  <si>
    <t>P4*</t>
  </si>
  <si>
    <t>TAREA</t>
  </si>
  <si>
    <t>NOTA FINAL</t>
  </si>
  <si>
    <t>REPORTE UIII</t>
  </si>
  <si>
    <t>P2</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</si>
</sst>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0" x14ac:knownFonts="1">
    <font>
      <sz val="11"/>
      <color theme="1"/>
      <name val="Calibri"/>
      <family val="2"/>
      <scheme val="minor"/>
    </font>
    <font>
      <sz val="11"/>
      <name val="Calibri"/>
      <family val="2"/>
      <scheme val="minor"/>
    </font>
    <font>
      <sz val="9"/>
      <color theme="1"/>
      <name val="Calibri"/>
      <family val="2"/>
      <scheme val="minor"/>
    </font>
    <font>
      <sz val="8"/>
      <color theme="1"/>
      <name val="Calibri"/>
      <family val="2"/>
      <scheme val="minor"/>
    </font>
    <font>
      <b/>
      <sz val="9"/>
      <color indexed="81"/>
      <name val="Tahoma"/>
      <family val="2"/>
    </font>
    <font>
      <sz val="11"/>
      <color rgb="FFFF0000"/>
      <name val="Calibri"/>
      <family val="2"/>
      <scheme val="minor"/>
    </font>
    <font>
      <sz val="11"/>
      <color rgb="FF000000"/>
      <name val="Calibri"/>
      <family val="2"/>
    </font>
    <font>
      <sz val="8"/>
      <color rgb="FF000000"/>
      <name val="Tahoma"/>
      <family val="2"/>
    </font>
    <font>
      <sz val="8"/>
      <name val="Calibri"/>
      <family val="2"/>
      <scheme val="minor"/>
    </font>
    <font>
      <b/>
      <sz val="10"/>
      <name val="Calibri"/>
      <family val="2"/>
      <scheme val="minor"/>
    </font>
    <font>
      <sz val="10"/>
      <color theme="1"/>
      <name val="Calibri"/>
      <family val="2"/>
      <scheme val="minor"/>
    </font>
    <font>
      <b/>
      <sz val="10"/>
      <color theme="1"/>
      <name val="Calibri"/>
      <family val="2"/>
      <scheme val="minor"/>
    </font>
    <font>
      <b/>
      <sz val="10"/>
      <color theme="0"/>
      <name val="Arial Narrow"/>
      <family val="2"/>
    </font>
    <font>
      <b/>
      <sz val="10"/>
      <color theme="0"/>
      <name val="Calibri"/>
      <family val="2"/>
      <scheme val="minor"/>
    </font>
    <font>
      <sz val="10"/>
      <color theme="1"/>
      <name val="Calibri"/>
      <family val="2"/>
    </font>
    <font>
      <sz val="9"/>
      <name val="Calibri"/>
      <family val="2"/>
      <scheme val="minor"/>
    </font>
    <font>
      <sz val="9"/>
      <color rgb="FF0000FF"/>
      <name val="Calibri"/>
      <family val="2"/>
      <scheme val="minor"/>
    </font>
    <font>
      <sz val="9"/>
      <color rgb="FFFF0000"/>
      <name val="Calibri"/>
      <family val="2"/>
      <scheme val="minor"/>
    </font>
    <font>
      <b/>
      <sz val="9"/>
      <color theme="1"/>
      <name val="Calibri"/>
      <family val="2"/>
      <scheme val="minor"/>
    </font>
    <font>
      <sz val="10"/>
      <name val="Calibri"/>
      <family val="2"/>
      <scheme val="minor"/>
    </font>
  </fonts>
  <fills count="15">
    <fill>
      <patternFill patternType="none"/>
    </fill>
    <fill>
      <patternFill patternType="gray125"/>
    </fill>
    <fill>
      <patternFill patternType="solid">
        <fgColor theme="8" tint="-0.249977111117893"/>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1" tint="0.249977111117893"/>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rgb="FFFFFF00"/>
        <bgColor indexed="64"/>
      </patternFill>
    </fill>
    <fill>
      <patternFill patternType="solid">
        <fgColor theme="9"/>
        <bgColor indexed="64"/>
      </patternFill>
    </fill>
    <fill>
      <patternFill patternType="solid">
        <fgColor rgb="FF92D050"/>
        <bgColor indexed="64"/>
      </patternFill>
    </fill>
    <fill>
      <patternFill patternType="solid">
        <fgColor theme="5" tint="0.39997558519241921"/>
        <bgColor indexed="64"/>
      </patternFill>
    </fill>
  </fills>
  <borders count="1">
    <border>
      <left/>
      <right/>
      <top/>
      <bottom/>
      <diagonal/>
    </border>
  </borders>
  <cellStyleXfs count="1">
    <xf numFmtId="0" fontId="0" fillId="0" borderId="0"/>
  </cellStyleXfs>
  <cellXfs count="79">
    <xf numFmtId="0" fontId="0" fillId="0" borderId="0" xfId="0"/>
    <xf numFmtId="0" fontId="1" fillId="8" borderId="0" xfId="0" applyFont="1" applyFill="1"/>
    <xf numFmtId="0" fontId="3" fillId="6" borderId="0" xfId="0" applyFont="1" applyFill="1" applyAlignment="1">
      <alignment horizontal="center"/>
    </xf>
    <xf numFmtId="0" fontId="3" fillId="6" borderId="0" xfId="0" quotePrefix="1" applyFont="1" applyFill="1" applyAlignment="1">
      <alignment horizontal="center"/>
    </xf>
    <xf numFmtId="0" fontId="3" fillId="6" borderId="0" xfId="0" applyFont="1" applyFill="1" applyAlignment="1">
      <alignment horizontal="center" vertical="center"/>
    </xf>
    <xf numFmtId="0" fontId="0" fillId="0" borderId="0" xfId="0" applyFill="1"/>
    <xf numFmtId="0" fontId="1" fillId="0" borderId="0" xfId="0" applyFont="1" applyFill="1"/>
    <xf numFmtId="0" fontId="5" fillId="8" borderId="0" xfId="0" applyFont="1" applyFill="1"/>
    <xf numFmtId="0" fontId="0" fillId="8" borderId="0" xfId="0" applyFill="1"/>
    <xf numFmtId="0" fontId="5" fillId="0" borderId="0" xfId="0" applyFont="1" applyFill="1"/>
    <xf numFmtId="0" fontId="8" fillId="6" borderId="0" xfId="0" applyFont="1" applyFill="1" applyAlignment="1">
      <alignment horizontal="center" vertical="center"/>
    </xf>
    <xf numFmtId="0" fontId="3" fillId="5" borderId="0" xfId="0" applyFont="1" applyFill="1" applyAlignment="1">
      <alignment horizontal="center" vertical="center"/>
    </xf>
    <xf numFmtId="164" fontId="3" fillId="6" borderId="0" xfId="0" applyNumberFormat="1" applyFont="1" applyFill="1" applyAlignment="1">
      <alignment horizontal="center" vertical="center"/>
    </xf>
    <xf numFmtId="0" fontId="9" fillId="8" borderId="0" xfId="0" applyFont="1" applyFill="1" applyAlignment="1">
      <alignment horizontal="center"/>
    </xf>
    <xf numFmtId="0" fontId="9" fillId="7" borderId="0" xfId="0" applyFont="1" applyFill="1" applyAlignment="1">
      <alignment horizontal="center"/>
    </xf>
    <xf numFmtId="0" fontId="11" fillId="5" borderId="0" xfId="0" applyFont="1" applyFill="1" applyAlignment="1">
      <alignment horizontal="center"/>
    </xf>
    <xf numFmtId="0" fontId="11" fillId="7" borderId="0" xfId="0" applyFont="1" applyFill="1" applyAlignment="1">
      <alignment horizontal="center"/>
    </xf>
    <xf numFmtId="0" fontId="10" fillId="5" borderId="0" xfId="0" applyFont="1" applyFill="1"/>
    <xf numFmtId="0" fontId="10" fillId="6" borderId="0" xfId="0" applyFont="1" applyFill="1"/>
    <xf numFmtId="164" fontId="10" fillId="6" borderId="0" xfId="0" applyNumberFormat="1" applyFont="1" applyFill="1"/>
    <xf numFmtId="0" fontId="11" fillId="6" borderId="0" xfId="0" applyFont="1" applyFill="1" applyAlignment="1">
      <alignment horizontal="center" vertical="center"/>
    </xf>
    <xf numFmtId="0" fontId="11" fillId="5" borderId="0" xfId="0" applyFont="1" applyFill="1" applyAlignment="1">
      <alignment horizontal="center" vertical="center"/>
    </xf>
    <xf numFmtId="0" fontId="0" fillId="0" borderId="0" xfId="0" applyFill="1" applyAlignment="1">
      <alignment horizontal="center" vertical="center"/>
    </xf>
    <xf numFmtId="0" fontId="11" fillId="3" borderId="0" xfId="0" applyFont="1" applyFill="1" applyAlignment="1">
      <alignment horizontal="center"/>
    </xf>
    <xf numFmtId="0" fontId="11" fillId="3" borderId="0" xfId="0" applyFont="1" applyFill="1" applyAlignment="1">
      <alignment horizontal="center" vertical="center"/>
    </xf>
    <xf numFmtId="0" fontId="10" fillId="7" borderId="0" xfId="0" applyFont="1" applyFill="1"/>
    <xf numFmtId="0" fontId="10" fillId="9" borderId="0" xfId="0" applyFont="1" applyFill="1"/>
    <xf numFmtId="0" fontId="10" fillId="6" borderId="0" xfId="0" applyFont="1" applyFill="1" applyAlignment="1">
      <alignment horizontal="center"/>
    </xf>
    <xf numFmtId="0" fontId="14" fillId="6" borderId="0" xfId="0" applyFont="1" applyFill="1" applyAlignment="1">
      <alignment horizontal="center" vertical="center"/>
    </xf>
    <xf numFmtId="0" fontId="10" fillId="6" borderId="0" xfId="0" applyFont="1" applyFill="1" applyAlignment="1">
      <alignment horizontal="center" vertical="center"/>
    </xf>
    <xf numFmtId="0" fontId="3" fillId="7" borderId="0" xfId="0" applyFont="1" applyFill="1"/>
    <xf numFmtId="0" fontId="3" fillId="5" borderId="0" xfId="0" applyFont="1" applyFill="1"/>
    <xf numFmtId="0" fontId="3" fillId="9" borderId="0" xfId="0" applyFont="1" applyFill="1"/>
    <xf numFmtId="0" fontId="8" fillId="7" borderId="0" xfId="0" applyFont="1" applyFill="1"/>
    <xf numFmtId="0" fontId="3" fillId="0" borderId="0" xfId="0" applyFont="1"/>
    <xf numFmtId="0" fontId="11" fillId="5" borderId="0" xfId="0" applyFont="1" applyFill="1"/>
    <xf numFmtId="0" fontId="11" fillId="9" borderId="0" xfId="0" applyFont="1" applyFill="1"/>
    <xf numFmtId="0" fontId="2" fillId="4" borderId="0" xfId="0" applyFont="1" applyFill="1"/>
    <xf numFmtId="164" fontId="2" fillId="4" borderId="0" xfId="0" applyNumberFormat="1" applyFont="1" applyFill="1"/>
    <xf numFmtId="0" fontId="15" fillId="4" borderId="0" xfId="0" applyFont="1" applyFill="1"/>
    <xf numFmtId="0" fontId="8" fillId="8" borderId="0" xfId="0" applyFont="1" applyFill="1" applyAlignment="1">
      <alignment horizontal="left" vertical="top"/>
    </xf>
    <xf numFmtId="0" fontId="11" fillId="6" borderId="0" xfId="0" applyFont="1" applyFill="1" applyAlignment="1">
      <alignment horizontal="center" vertical="center"/>
    </xf>
    <xf numFmtId="164" fontId="16" fillId="4" borderId="0" xfId="0" applyNumberFormat="1" applyFont="1" applyFill="1" applyAlignment="1">
      <alignment horizontal="center"/>
    </xf>
    <xf numFmtId="164" fontId="17" fillId="4" borderId="0" xfId="0" applyNumberFormat="1" applyFont="1" applyFill="1" applyAlignment="1">
      <alignment horizontal="center"/>
    </xf>
    <xf numFmtId="164" fontId="0" fillId="0" borderId="0" xfId="0" applyNumberFormat="1"/>
    <xf numFmtId="164" fontId="0" fillId="0" borderId="0" xfId="0" applyNumberFormat="1" applyFill="1"/>
    <xf numFmtId="0" fontId="11" fillId="6" borderId="0" xfId="0" applyFont="1" applyFill="1" applyAlignment="1">
      <alignment horizontal="center" vertical="center"/>
    </xf>
    <xf numFmtId="0" fontId="11" fillId="7" borderId="0" xfId="0" applyFont="1" applyFill="1" applyAlignment="1">
      <alignment horizontal="center"/>
    </xf>
    <xf numFmtId="0" fontId="11" fillId="6" borderId="0" xfId="0" applyFont="1" applyFill="1" applyAlignment="1">
      <alignment horizontal="center" vertical="center"/>
    </xf>
    <xf numFmtId="0" fontId="11" fillId="7" borderId="0" xfId="0" applyFont="1" applyFill="1" applyAlignment="1">
      <alignment horizontal="center"/>
    </xf>
    <xf numFmtId="0" fontId="11" fillId="9" borderId="0" xfId="0" applyFont="1" applyFill="1" applyAlignment="1">
      <alignment horizontal="center"/>
    </xf>
    <xf numFmtId="0" fontId="11" fillId="9" borderId="0" xfId="0" applyFont="1" applyFill="1" applyAlignment="1">
      <alignment horizontal="center" vertical="center"/>
    </xf>
    <xf numFmtId="0" fontId="11" fillId="8" borderId="0" xfId="0" applyFont="1" applyFill="1" applyAlignment="1">
      <alignment horizontal="center"/>
    </xf>
    <xf numFmtId="0" fontId="11" fillId="8" borderId="0" xfId="0" applyFont="1" applyFill="1" applyAlignment="1">
      <alignment horizontal="center" vertical="center"/>
    </xf>
    <xf numFmtId="0" fontId="3" fillId="9" borderId="0" xfId="0" applyFont="1" applyFill="1" applyAlignment="1">
      <alignment horizontal="center" vertical="center"/>
    </xf>
    <xf numFmtId="164" fontId="10" fillId="7" borderId="0" xfId="0" applyNumberFormat="1" applyFont="1" applyFill="1"/>
    <xf numFmtId="0" fontId="18" fillId="6" borderId="0" xfId="0" applyFont="1" applyFill="1" applyAlignment="1">
      <alignment horizontal="center" vertical="center"/>
    </xf>
    <xf numFmtId="0" fontId="18" fillId="9" borderId="0" xfId="0" applyFont="1" applyFill="1" applyAlignment="1">
      <alignment horizontal="center" vertical="center"/>
    </xf>
    <xf numFmtId="0" fontId="18" fillId="5"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xf>
    <xf numFmtId="0" fontId="9" fillId="9" borderId="0" xfId="0" applyFont="1" applyFill="1" applyAlignment="1">
      <alignment horizontal="center"/>
    </xf>
    <xf numFmtId="0" fontId="8" fillId="9" borderId="0" xfId="0" applyFont="1" applyFill="1" applyAlignment="1">
      <alignment horizontal="left" vertical="top"/>
    </xf>
    <xf numFmtId="0" fontId="9" fillId="6" borderId="0" xfId="0" applyFont="1" applyFill="1" applyAlignment="1">
      <alignment horizontal="center" vertical="center"/>
    </xf>
    <xf numFmtId="0" fontId="19" fillId="9" borderId="0" xfId="0" applyFont="1" applyFill="1" applyAlignment="1">
      <alignment horizontal="center" vertical="center"/>
    </xf>
    <xf numFmtId="0" fontId="3" fillId="0" borderId="0" xfId="0" applyFont="1" applyFill="1" applyAlignment="1">
      <alignment horizontal="center" vertical="center"/>
    </xf>
    <xf numFmtId="164" fontId="16" fillId="4" borderId="0" xfId="0" applyNumberFormat="1" applyFont="1" applyFill="1" applyAlignment="1">
      <alignment horizontal="center" vertical="center"/>
    </xf>
    <xf numFmtId="164" fontId="17" fillId="4" borderId="0" xfId="0" applyNumberFormat="1" applyFont="1" applyFill="1" applyAlignment="1">
      <alignment horizontal="center" vertical="center"/>
    </xf>
    <xf numFmtId="0" fontId="3" fillId="10" borderId="0" xfId="0" applyFont="1" applyFill="1" applyAlignment="1">
      <alignment horizontal="center" vertical="center"/>
    </xf>
    <xf numFmtId="0" fontId="3" fillId="11" borderId="0" xfId="0" applyFont="1" applyFill="1" applyAlignment="1">
      <alignment horizontal="center" vertical="center"/>
    </xf>
    <xf numFmtId="0" fontId="3" fillId="12" borderId="0" xfId="0" applyFont="1" applyFill="1" applyAlignment="1">
      <alignment horizontal="center" vertical="center"/>
    </xf>
    <xf numFmtId="0" fontId="3" fillId="13" borderId="0" xfId="0" applyFont="1" applyFill="1" applyAlignment="1">
      <alignment horizontal="center" vertical="center"/>
    </xf>
    <xf numFmtId="0" fontId="3" fillId="3" borderId="0" xfId="0" applyFont="1" applyFill="1" applyAlignment="1">
      <alignment horizontal="center" vertical="center"/>
    </xf>
    <xf numFmtId="0" fontId="3" fillId="14" borderId="0" xfId="0" applyFont="1" applyFill="1" applyAlignment="1">
      <alignment horizontal="center" vertical="center"/>
    </xf>
    <xf numFmtId="0" fontId="12" fillId="2" borderId="0" xfId="0" applyFont="1" applyFill="1" applyAlignment="1">
      <alignment horizontal="center" vertical="center" wrapText="1"/>
    </xf>
    <xf numFmtId="0" fontId="13" fillId="2" borderId="0" xfId="0" applyFont="1" applyFill="1" applyAlignment="1">
      <alignment horizontal="center" vertical="center"/>
    </xf>
    <xf numFmtId="0" fontId="11" fillId="6" borderId="0" xfId="0" applyFont="1" applyFill="1" applyAlignment="1">
      <alignment horizontal="center" vertical="center"/>
    </xf>
    <xf numFmtId="0" fontId="9" fillId="6" borderId="0" xfId="0" applyFont="1" applyFill="1" applyAlignment="1">
      <alignment horizontal="center"/>
    </xf>
    <xf numFmtId="0" fontId="11" fillId="7" borderId="0" xfId="0" applyFont="1" applyFill="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Label" lockText="1"/>
</file>

<file path=xl/ctrlProps/ctrlProp4.xml><?xml version="1.0" encoding="utf-8"?>
<formControlPr xmlns="http://schemas.microsoft.com/office/spreadsheetml/2009/9/main" objectType="Label" lockText="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123825</xdr:colOff>
          <xdr:row>0</xdr:row>
          <xdr:rowOff>390525</xdr:rowOff>
        </xdr:from>
        <xdr:to>
          <xdr:col>8</xdr:col>
          <xdr:colOff>285750</xdr:colOff>
          <xdr:row>1</xdr:row>
          <xdr:rowOff>19050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Clasificar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114300</xdr:colOff>
          <xdr:row>0</xdr:row>
          <xdr:rowOff>57150</xdr:rowOff>
        </xdr:from>
        <xdr:to>
          <xdr:col>8</xdr:col>
          <xdr:colOff>266700</xdr:colOff>
          <xdr:row>0</xdr:row>
          <xdr:rowOff>323850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Restablecer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466725</xdr:colOff>
          <xdr:row>0</xdr:row>
          <xdr:rowOff>104775</xdr:rowOff>
        </xdr:from>
        <xdr:to>
          <xdr:col>10</xdr:col>
          <xdr:colOff>342900</xdr:colOff>
          <xdr:row>0</xdr:row>
          <xdr:rowOff>342900</xdr:rowOff>
        </xdr:to>
        <xdr:sp macro="" textlink="">
          <xdr:nvSpPr>
            <xdr:cNvPr id="1029" name="Label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s-MX" sz="800" b="0" i="0" u="none" strike="noStrike" baseline="0">
                  <a:solidFill>
                    <a:srgbClr val="000000"/>
                  </a:solidFill>
                  <a:latin typeface="Tahoma"/>
                  <a:ea typeface="Tahoma"/>
                  <a:cs typeface="Tahoma"/>
                </a:rPr>
                <a:t>Porcentaje de aprobación</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485775</xdr:colOff>
          <xdr:row>0</xdr:row>
          <xdr:rowOff>361950</xdr:rowOff>
        </xdr:from>
        <xdr:to>
          <xdr:col>10</xdr:col>
          <xdr:colOff>361950</xdr:colOff>
          <xdr:row>0</xdr:row>
          <xdr:rowOff>600075</xdr:rowOff>
        </xdr:to>
        <xdr:sp macro="" textlink="">
          <xdr:nvSpPr>
            <xdr:cNvPr id="1031" name="Label 7" hidden="1">
              <a:extLst>
                <a:ext uri="{63B3BB69-23CF-44E3-9099-C40C66FF867C}">
                  <a14:compatExt spid="_x0000_s1031"/>
                </a:ext>
              </a:extLst>
            </xdr:cNvPr>
            <xdr:cNvSpPr/>
          </xdr:nvSpPr>
          <xdr:spPr>
            <a:xfrm>
              <a:off x="0" y="0"/>
              <a:ext cx="0" cy="0"/>
            </a:xfrm>
            <a:prstGeom prst="rect">
              <a:avLst/>
            </a:prstGeom>
          </xdr:spPr>
          <xdr:txBody>
            <a:bodyPr vertOverflow="clip" wrap="square" lIns="27432" tIns="18288" rIns="0" bIns="0" anchor="t" upright="1"/>
            <a:lstStyle/>
            <a:p>
              <a:pPr algn="l" rtl="0">
                <a:defRPr sz="1000"/>
              </a:pPr>
              <a:r>
                <a:rPr lang="es-MX" sz="800" b="0" i="0" u="none" strike="noStrike" baseline="0">
                  <a:solidFill>
                    <a:srgbClr val="000000"/>
                  </a:solidFill>
                  <a:latin typeface="Tahoma"/>
                  <a:ea typeface="Tahoma"/>
                  <a:cs typeface="Tahoma"/>
                </a:rPr>
                <a:t>Media grupal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0</xdr:row>
          <xdr:rowOff>66675</xdr:rowOff>
        </xdr:from>
        <xdr:to>
          <xdr:col>11</xdr:col>
          <xdr:colOff>257175</xdr:colOff>
          <xdr:row>0</xdr:row>
          <xdr:rowOff>295275</xdr:rowOff>
        </xdr:to>
        <xdr:sp macro="" textlink="">
          <xdr:nvSpPr>
            <xdr:cNvPr id="1032" name="PA" hidden="1">
              <a:extLst>
                <a:ext uri="{63B3BB69-23CF-44E3-9099-C40C66FF867C}">
                  <a14:compatExt spid="_x0000_s10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0</xdr:row>
          <xdr:rowOff>371475</xdr:rowOff>
        </xdr:from>
        <xdr:to>
          <xdr:col>11</xdr:col>
          <xdr:colOff>257175</xdr:colOff>
          <xdr:row>0</xdr:row>
          <xdr:rowOff>600075</xdr:rowOff>
        </xdr:to>
        <xdr:sp macro="" textlink="">
          <xdr:nvSpPr>
            <xdr:cNvPr id="1033" name="MG" hidden="1">
              <a:extLst>
                <a:ext uri="{63B3BB69-23CF-44E3-9099-C40C66FF867C}">
                  <a14:compatExt spid="_x0000_s103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4.xml"/><Relationship Id="rId5" Type="http://schemas.openxmlformats.org/officeDocument/2006/relationships/image" Target="../media/image1.emf"/><Relationship Id="rId10"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L40"/>
  <sheetViews>
    <sheetView tabSelected="1" topLeftCell="A4" workbookViewId="0">
      <selection activeCell="H21" sqref="H21"/>
    </sheetView>
  </sheetViews>
  <sheetFormatPr baseColWidth="10" defaultRowHeight="15" x14ac:dyDescent="0.25"/>
  <cols>
    <col min="1" max="1" width="36.5703125" customWidth="1"/>
    <col min="2" max="6" width="7.7109375" customWidth="1"/>
    <col min="7" max="7" width="11.5703125" customWidth="1"/>
    <col min="9" max="9" width="13.85546875" customWidth="1"/>
    <col min="12" max="12" width="7.5703125" customWidth="1"/>
  </cols>
  <sheetData>
    <row r="1" spans="1:12" ht="49.5" customHeight="1" x14ac:dyDescent="0.25">
      <c r="A1" s="74" t="s">
        <v>56</v>
      </c>
      <c r="B1" s="75"/>
      <c r="C1" s="75"/>
      <c r="D1" s="75"/>
      <c r="E1" s="75"/>
      <c r="F1" s="75"/>
      <c r="G1" s="75"/>
      <c r="H1" s="7"/>
      <c r="I1" s="7"/>
      <c r="J1" s="8"/>
      <c r="K1" s="8"/>
      <c r="L1" s="8"/>
    </row>
    <row r="2" spans="1:12" x14ac:dyDescent="0.25">
      <c r="A2" s="23" t="s">
        <v>28</v>
      </c>
      <c r="B2" s="24" t="s">
        <v>69</v>
      </c>
      <c r="C2" s="23" t="s">
        <v>77</v>
      </c>
      <c r="D2" s="23" t="s">
        <v>72</v>
      </c>
      <c r="E2" s="23" t="s">
        <v>73</v>
      </c>
      <c r="F2" s="23" t="s">
        <v>57</v>
      </c>
      <c r="G2" s="23" t="s">
        <v>75</v>
      </c>
      <c r="H2" s="7"/>
      <c r="I2" s="7"/>
      <c r="J2" s="8"/>
      <c r="K2" s="8"/>
      <c r="L2" s="8"/>
    </row>
    <row r="3" spans="1:12" ht="12.95" customHeight="1" x14ac:dyDescent="0.25">
      <c r="A3" s="37" t="s">
        <v>0</v>
      </c>
      <c r="B3" s="66">
        <f>('P1'!S3)</f>
        <v>87.208333333333329</v>
      </c>
      <c r="C3" s="66">
        <f>'P2'!V3</f>
        <v>71.25</v>
      </c>
      <c r="D3" s="67">
        <f>'P3'!W3</f>
        <v>47.7</v>
      </c>
      <c r="E3" s="66">
        <f>'P4'!O3</f>
        <v>100</v>
      </c>
      <c r="F3" s="38"/>
      <c r="G3" s="43">
        <f>IF(AND(B3&gt;=70,C3&gt;=70,D3&gt;=70,E3&gt;=70),AVERAGE(B3:E3),0)</f>
        <v>0</v>
      </c>
      <c r="H3" s="9"/>
      <c r="I3" s="9"/>
      <c r="J3" s="5"/>
      <c r="K3" s="5"/>
      <c r="L3" s="5"/>
    </row>
    <row r="4" spans="1:12" ht="12.95" customHeight="1" x14ac:dyDescent="0.25">
      <c r="A4" s="37" t="s">
        <v>1</v>
      </c>
      <c r="B4" s="66">
        <f>('P1'!S4)</f>
        <v>89.525000000000006</v>
      </c>
      <c r="C4" s="67">
        <f>'P2'!V4</f>
        <v>64.25</v>
      </c>
      <c r="D4" s="67">
        <f>'P3'!W4</f>
        <v>51.85</v>
      </c>
      <c r="E4" s="66">
        <f>'P4'!O4</f>
        <v>100</v>
      </c>
      <c r="F4" s="38"/>
      <c r="G4" s="43">
        <f t="shared" ref="G4:G40" si="0">IF(AND(B4&gt;=70,C4&gt;=70,D4&gt;=70,E4&gt;=70),AVERAGE(B4:E4),0)</f>
        <v>0</v>
      </c>
      <c r="H4" s="5"/>
      <c r="I4" s="5"/>
      <c r="J4" s="5"/>
      <c r="K4" s="5"/>
      <c r="L4" s="5"/>
    </row>
    <row r="5" spans="1:12" ht="12.95" customHeight="1" x14ac:dyDescent="0.25">
      <c r="A5" s="37" t="s">
        <v>2</v>
      </c>
      <c r="B5" s="66">
        <f>('P1'!S5)</f>
        <v>89.237499999999997</v>
      </c>
      <c r="C5" s="67">
        <f>'P2'!V5</f>
        <v>67.400000000000006</v>
      </c>
      <c r="D5" s="67">
        <f>'P3'!W5</f>
        <v>49.3</v>
      </c>
      <c r="E5" s="66">
        <f>'P4'!O5</f>
        <v>100</v>
      </c>
      <c r="F5" s="38"/>
      <c r="G5" s="43">
        <f t="shared" si="0"/>
        <v>0</v>
      </c>
      <c r="H5" s="45"/>
      <c r="I5" s="5"/>
      <c r="J5" s="5"/>
      <c r="K5" s="5"/>
    </row>
    <row r="6" spans="1:12" ht="12.95" customHeight="1" x14ac:dyDescent="0.25">
      <c r="A6" s="37" t="s">
        <v>59</v>
      </c>
      <c r="B6" s="66">
        <f>('P1'!S6)</f>
        <v>73.104166666666657</v>
      </c>
      <c r="C6" s="67">
        <f>'P2'!V6</f>
        <v>29.5</v>
      </c>
      <c r="D6" s="67">
        <f>'P3'!W6</f>
        <v>30</v>
      </c>
      <c r="E6" s="66">
        <f>'P4'!O6</f>
        <v>100</v>
      </c>
      <c r="F6" s="38"/>
      <c r="G6" s="43">
        <f t="shared" si="0"/>
        <v>0</v>
      </c>
      <c r="H6" s="5"/>
      <c r="I6" s="5"/>
      <c r="J6" s="5"/>
      <c r="K6" s="5"/>
    </row>
    <row r="7" spans="1:12" ht="12.95" customHeight="1" x14ac:dyDescent="0.25">
      <c r="A7" s="37" t="s">
        <v>3</v>
      </c>
      <c r="B7" s="67">
        <f>('P1'!S7)</f>
        <v>51.841666666666669</v>
      </c>
      <c r="C7" s="67">
        <f>'P2'!V7</f>
        <v>57.3</v>
      </c>
      <c r="D7" s="67">
        <f>'P3'!W7</f>
        <v>45.25</v>
      </c>
      <c r="E7" s="66">
        <f>'P4'!O7</f>
        <v>100</v>
      </c>
      <c r="F7" s="38"/>
      <c r="G7" s="43">
        <f t="shared" si="0"/>
        <v>0</v>
      </c>
      <c r="H7" s="5"/>
      <c r="I7" s="6"/>
      <c r="J7" s="5"/>
      <c r="K7" s="5"/>
    </row>
    <row r="8" spans="1:12" ht="12.95" customHeight="1" x14ac:dyDescent="0.25">
      <c r="A8" s="37" t="s">
        <v>4</v>
      </c>
      <c r="B8" s="66">
        <f>('P1'!S8)</f>
        <v>71.237499999999997</v>
      </c>
      <c r="C8" s="67">
        <f>'P2'!V8</f>
        <v>54.35</v>
      </c>
      <c r="D8" s="67">
        <f>'P3'!W8</f>
        <v>62.8</v>
      </c>
      <c r="E8" s="66">
        <f>'P4'!O8</f>
        <v>100</v>
      </c>
      <c r="F8" s="38"/>
      <c r="G8" s="43">
        <f t="shared" si="0"/>
        <v>0</v>
      </c>
      <c r="H8" s="5"/>
      <c r="I8" s="6"/>
      <c r="J8" s="5"/>
      <c r="K8" s="5"/>
    </row>
    <row r="9" spans="1:12" ht="12.95" customHeight="1" x14ac:dyDescent="0.25">
      <c r="A9" s="37" t="s">
        <v>5</v>
      </c>
      <c r="B9" s="66">
        <f>('P1'!S9)</f>
        <v>74.241666666666674</v>
      </c>
      <c r="C9" s="66">
        <f>'P2'!V9</f>
        <v>81.349999999999994</v>
      </c>
      <c r="D9" s="67">
        <f>'P3'!W9</f>
        <v>65.48</v>
      </c>
      <c r="E9" s="66">
        <f>'P4'!O9</f>
        <v>100</v>
      </c>
      <c r="F9" s="38"/>
      <c r="G9" s="43">
        <f t="shared" si="0"/>
        <v>0</v>
      </c>
      <c r="H9" s="5"/>
      <c r="I9" s="5"/>
      <c r="J9" s="5"/>
      <c r="K9" s="5"/>
    </row>
    <row r="10" spans="1:12" ht="12.95" customHeight="1" x14ac:dyDescent="0.25">
      <c r="A10" s="37" t="s">
        <v>6</v>
      </c>
      <c r="B10" s="67">
        <f>('P1'!S10)</f>
        <v>41.3</v>
      </c>
      <c r="C10" s="67">
        <f>'P2'!V10</f>
        <v>69.5</v>
      </c>
      <c r="D10" s="67">
        <f>'P3'!W10</f>
        <v>46.8</v>
      </c>
      <c r="E10" s="66">
        <f>'P4'!O10</f>
        <v>100</v>
      </c>
      <c r="F10" s="38"/>
      <c r="G10" s="43">
        <f t="shared" si="0"/>
        <v>0</v>
      </c>
    </row>
    <row r="11" spans="1:12" ht="12.95" customHeight="1" x14ac:dyDescent="0.25">
      <c r="A11" s="37" t="s">
        <v>8</v>
      </c>
      <c r="B11" s="67">
        <f>('P1'!S11)</f>
        <v>61.958333333333329</v>
      </c>
      <c r="C11" s="67">
        <f>'P2'!V11</f>
        <v>69</v>
      </c>
      <c r="D11" s="67">
        <f>'P3'!W11</f>
        <v>49.35</v>
      </c>
      <c r="E11" s="66">
        <f>'P4'!O11</f>
        <v>100</v>
      </c>
      <c r="F11" s="38"/>
      <c r="G11" s="43">
        <f t="shared" si="0"/>
        <v>0</v>
      </c>
    </row>
    <row r="12" spans="1:12" ht="12.95" customHeight="1" x14ac:dyDescent="0.25">
      <c r="A12" s="37" t="s">
        <v>9</v>
      </c>
      <c r="B12" s="67">
        <f>('P1'!S12)</f>
        <v>52.654166666666669</v>
      </c>
      <c r="C12" s="67">
        <f>'P2'!V12</f>
        <v>57.949999999999996</v>
      </c>
      <c r="D12" s="67">
        <f>'P3'!W12</f>
        <v>32.5</v>
      </c>
      <c r="E12" s="66">
        <f>'P4'!O12</f>
        <v>100</v>
      </c>
      <c r="F12" s="38"/>
      <c r="G12" s="43">
        <f t="shared" si="0"/>
        <v>0</v>
      </c>
    </row>
    <row r="13" spans="1:12" ht="12.95" customHeight="1" x14ac:dyDescent="0.25">
      <c r="A13" s="37" t="s">
        <v>10</v>
      </c>
      <c r="B13" s="67">
        <f>('P1'!S13)</f>
        <v>47.3</v>
      </c>
      <c r="C13" s="67">
        <f>'P2'!V13</f>
        <v>53.25</v>
      </c>
      <c r="D13" s="67">
        <f>'P3'!W13</f>
        <v>35</v>
      </c>
      <c r="E13" s="66">
        <f>'P4'!O13</f>
        <v>100</v>
      </c>
      <c r="F13" s="38"/>
      <c r="G13" s="43">
        <f t="shared" si="0"/>
        <v>0</v>
      </c>
    </row>
    <row r="14" spans="1:12" ht="12.95" customHeight="1" x14ac:dyDescent="0.25">
      <c r="A14" s="37" t="s">
        <v>11</v>
      </c>
      <c r="B14" s="67">
        <f>('P1'!S14)</f>
        <v>26.166666666666668</v>
      </c>
      <c r="C14" s="67">
        <f>'P2'!V14</f>
        <v>56.45</v>
      </c>
      <c r="D14" s="67">
        <f>'P3'!W14</f>
        <v>59.95</v>
      </c>
      <c r="E14" s="66">
        <f>'P4'!O14</f>
        <v>100</v>
      </c>
      <c r="F14" s="38"/>
      <c r="G14" s="43">
        <f t="shared" si="0"/>
        <v>0</v>
      </c>
    </row>
    <row r="15" spans="1:12" ht="12.95" customHeight="1" x14ac:dyDescent="0.25">
      <c r="A15" s="37" t="s">
        <v>12</v>
      </c>
      <c r="B15" s="66">
        <f>('P1'!S15)</f>
        <v>72.525000000000006</v>
      </c>
      <c r="C15" s="66">
        <f>'P2'!V15</f>
        <v>80.599999999999994</v>
      </c>
      <c r="D15" s="67">
        <f>'P3'!W15</f>
        <v>45.6</v>
      </c>
      <c r="E15" s="66">
        <f>'P4'!O15</f>
        <v>100</v>
      </c>
      <c r="F15" s="38"/>
      <c r="G15" s="43">
        <f t="shared" si="0"/>
        <v>0</v>
      </c>
    </row>
    <row r="16" spans="1:12" ht="12.95" customHeight="1" x14ac:dyDescent="0.25">
      <c r="A16" s="37" t="s">
        <v>13</v>
      </c>
      <c r="B16" s="67">
        <f>('P1'!S16)</f>
        <v>50.4</v>
      </c>
      <c r="C16" s="67">
        <f>'P2'!V16</f>
        <v>65.900000000000006</v>
      </c>
      <c r="D16" s="67">
        <f>'P3'!W16</f>
        <v>68.3</v>
      </c>
      <c r="E16" s="66">
        <f>'P4'!O16</f>
        <v>100</v>
      </c>
      <c r="F16" s="38"/>
      <c r="G16" s="43">
        <f t="shared" si="0"/>
        <v>0</v>
      </c>
      <c r="J16" s="44"/>
    </row>
    <row r="17" spans="1:7" ht="12.95" customHeight="1" x14ac:dyDescent="0.25">
      <c r="A17" s="37" t="s">
        <v>14</v>
      </c>
      <c r="B17" s="67">
        <f>('P1'!S17)</f>
        <v>20.466666666666665</v>
      </c>
      <c r="C17" s="67">
        <f>'P2'!V17</f>
        <v>48</v>
      </c>
      <c r="D17" s="67">
        <f>'P3'!W17</f>
        <v>35</v>
      </c>
      <c r="E17" s="66">
        <f>'P4'!O17</f>
        <v>100</v>
      </c>
      <c r="F17" s="38"/>
      <c r="G17" s="43">
        <f t="shared" si="0"/>
        <v>0</v>
      </c>
    </row>
    <row r="18" spans="1:7" ht="12.95" customHeight="1" x14ac:dyDescent="0.25">
      <c r="A18" s="37" t="s">
        <v>15</v>
      </c>
      <c r="B18" s="66">
        <f>('P1'!S18)</f>
        <v>80.674999999999997</v>
      </c>
      <c r="C18" s="67">
        <f>'P2'!V18</f>
        <v>22.75</v>
      </c>
      <c r="D18" s="67">
        <f>'P3'!W18</f>
        <v>30</v>
      </c>
      <c r="E18" s="66">
        <f>'P4'!O18</f>
        <v>100</v>
      </c>
      <c r="F18" s="38"/>
      <c r="G18" s="43">
        <f t="shared" si="0"/>
        <v>0</v>
      </c>
    </row>
    <row r="19" spans="1:7" ht="12.95" customHeight="1" x14ac:dyDescent="0.25">
      <c r="A19" s="37" t="s">
        <v>16</v>
      </c>
      <c r="B19" s="67">
        <f>('P1'!S19)</f>
        <v>59.524999999999999</v>
      </c>
      <c r="C19" s="67">
        <f>'P2'!V19</f>
        <v>67.400000000000006</v>
      </c>
      <c r="D19" s="67">
        <f>'P3'!W19</f>
        <v>48.4</v>
      </c>
      <c r="E19" s="66">
        <f>'P4'!O19</f>
        <v>100</v>
      </c>
      <c r="F19" s="38"/>
      <c r="G19" s="43">
        <f t="shared" si="0"/>
        <v>0</v>
      </c>
    </row>
    <row r="20" spans="1:7" ht="12.95" customHeight="1" x14ac:dyDescent="0.25">
      <c r="A20" s="37" t="s">
        <v>52</v>
      </c>
      <c r="B20" s="67">
        <f>('P1'!S20)</f>
        <v>47.05416666666666</v>
      </c>
      <c r="C20" s="66">
        <f>'P2'!V20</f>
        <v>88.65</v>
      </c>
      <c r="D20" s="67">
        <f>'P3'!W20</f>
        <v>59.35</v>
      </c>
      <c r="E20" s="66">
        <f>'P4'!O20</f>
        <v>100</v>
      </c>
      <c r="F20" s="38"/>
      <c r="G20" s="43">
        <f t="shared" si="0"/>
        <v>0</v>
      </c>
    </row>
    <row r="21" spans="1:7" ht="12.95" customHeight="1" x14ac:dyDescent="0.25">
      <c r="A21" s="37" t="s">
        <v>17</v>
      </c>
      <c r="B21" s="67">
        <f>('P1'!S21)</f>
        <v>69.5</v>
      </c>
      <c r="C21" s="66">
        <f>'P2'!V21</f>
        <v>82.35</v>
      </c>
      <c r="D21" s="66">
        <f>'P3'!W21</f>
        <v>92.85</v>
      </c>
      <c r="E21" s="66">
        <f>'P4'!O21</f>
        <v>100</v>
      </c>
      <c r="F21" s="38"/>
      <c r="G21" s="43">
        <f t="shared" si="0"/>
        <v>0</v>
      </c>
    </row>
    <row r="22" spans="1:7" ht="12.95" customHeight="1" x14ac:dyDescent="0.25">
      <c r="A22" s="37" t="s">
        <v>18</v>
      </c>
      <c r="B22" s="66">
        <f>('P1'!S22)</f>
        <v>79.716666666666669</v>
      </c>
      <c r="C22" s="66">
        <f>'P2'!V22</f>
        <v>80.349999999999994</v>
      </c>
      <c r="D22" s="67">
        <f>'P3'!W22</f>
        <v>60.53</v>
      </c>
      <c r="E22" s="66">
        <f>'P4'!O22</f>
        <v>100</v>
      </c>
      <c r="F22" s="38"/>
      <c r="G22" s="43">
        <f t="shared" si="0"/>
        <v>0</v>
      </c>
    </row>
    <row r="23" spans="1:7" ht="12.95" customHeight="1" x14ac:dyDescent="0.25">
      <c r="A23" s="37" t="s">
        <v>19</v>
      </c>
      <c r="B23" s="67">
        <f>('P1'!S23)</f>
        <v>67.625</v>
      </c>
      <c r="C23" s="67">
        <f>'P2'!V23</f>
        <v>62</v>
      </c>
      <c r="D23" s="66">
        <f>'P3'!W23</f>
        <v>71.2</v>
      </c>
      <c r="E23" s="66">
        <f>'P4'!O23</f>
        <v>100</v>
      </c>
      <c r="F23" s="38"/>
      <c r="G23" s="43">
        <f t="shared" si="0"/>
        <v>0</v>
      </c>
    </row>
    <row r="24" spans="1:7" ht="12.95" customHeight="1" x14ac:dyDescent="0.25">
      <c r="A24" s="37" t="s">
        <v>20</v>
      </c>
      <c r="B24" s="66">
        <f>('P1'!S24)</f>
        <v>89.487499999999997</v>
      </c>
      <c r="C24" s="66">
        <f>'P2'!V24</f>
        <v>90.15</v>
      </c>
      <c r="D24" s="67">
        <f>'P3'!W24</f>
        <v>65</v>
      </c>
      <c r="E24" s="66">
        <f>'P4'!O24</f>
        <v>100</v>
      </c>
      <c r="F24" s="38"/>
      <c r="G24" s="43">
        <f t="shared" si="0"/>
        <v>0</v>
      </c>
    </row>
    <row r="25" spans="1:7" ht="12.95" customHeight="1" x14ac:dyDescent="0.25">
      <c r="A25" s="37" t="s">
        <v>21</v>
      </c>
      <c r="B25" s="67">
        <f>('P1'!S25)</f>
        <v>64.54583333333332</v>
      </c>
      <c r="C25" s="67">
        <f>'P2'!V25</f>
        <v>65</v>
      </c>
      <c r="D25" s="67">
        <f>'P3'!W25</f>
        <v>59.5</v>
      </c>
      <c r="E25" s="66">
        <f>'P4'!O25</f>
        <v>100</v>
      </c>
      <c r="F25" s="38"/>
      <c r="G25" s="43">
        <f t="shared" si="0"/>
        <v>0</v>
      </c>
    </row>
    <row r="26" spans="1:7" ht="12.95" customHeight="1" x14ac:dyDescent="0.25">
      <c r="A26" s="37" t="s">
        <v>65</v>
      </c>
      <c r="B26" s="67">
        <f>('P1'!S26)</f>
        <v>61.716666666666669</v>
      </c>
      <c r="C26" s="67">
        <f>'P2'!V26</f>
        <v>38.25</v>
      </c>
      <c r="D26" s="67">
        <f>'P3'!W26</f>
        <v>47.5</v>
      </c>
      <c r="E26" s="66">
        <f>'P4'!O26</f>
        <v>100</v>
      </c>
      <c r="F26" s="38"/>
      <c r="G26" s="43">
        <f t="shared" si="0"/>
        <v>0</v>
      </c>
    </row>
    <row r="27" spans="1:7" ht="12.95" customHeight="1" x14ac:dyDescent="0.25">
      <c r="A27" s="37" t="s">
        <v>60</v>
      </c>
      <c r="B27" s="67">
        <f>('P1'!S27)</f>
        <v>61.612499999999997</v>
      </c>
      <c r="C27" s="67">
        <f>'P2'!V27</f>
        <v>58.35</v>
      </c>
      <c r="D27" s="67">
        <f>'P3'!W27</f>
        <v>53.7</v>
      </c>
      <c r="E27" s="66">
        <f>'P4'!O27</f>
        <v>100</v>
      </c>
      <c r="F27" s="38"/>
      <c r="G27" s="43">
        <f t="shared" si="0"/>
        <v>0</v>
      </c>
    </row>
    <row r="28" spans="1:7" ht="12.95" customHeight="1" x14ac:dyDescent="0.25">
      <c r="A28" s="37" t="s">
        <v>51</v>
      </c>
      <c r="B28" s="67">
        <f>('P1'!S28)</f>
        <v>59.004166666666663</v>
      </c>
      <c r="C28" s="67">
        <f>'P2'!V28</f>
        <v>54.1</v>
      </c>
      <c r="D28" s="67">
        <f>'P3'!W28</f>
        <v>45.6</v>
      </c>
      <c r="E28" s="66">
        <f>'P4'!O28</f>
        <v>100</v>
      </c>
      <c r="F28" s="38"/>
      <c r="G28" s="43">
        <f t="shared" si="0"/>
        <v>0</v>
      </c>
    </row>
    <row r="29" spans="1:7" ht="12.95" customHeight="1" x14ac:dyDescent="0.25">
      <c r="A29" s="37" t="s">
        <v>23</v>
      </c>
      <c r="B29" s="66">
        <f>('P1'!S29)</f>
        <v>85.570833333333326</v>
      </c>
      <c r="C29" s="67">
        <f>'P2'!V29</f>
        <v>67.45</v>
      </c>
      <c r="D29" s="67">
        <f>'P3'!W29</f>
        <v>56.7</v>
      </c>
      <c r="E29" s="66">
        <f>'P4'!O29</f>
        <v>100</v>
      </c>
      <c r="F29" s="38"/>
      <c r="G29" s="43">
        <f t="shared" si="0"/>
        <v>0</v>
      </c>
    </row>
    <row r="30" spans="1:7" ht="12.95" customHeight="1" x14ac:dyDescent="0.25">
      <c r="A30" s="37" t="s">
        <v>29</v>
      </c>
      <c r="B30" s="66">
        <f>('P1'!S30)</f>
        <v>95.57916666666668</v>
      </c>
      <c r="C30" s="66">
        <f>'P2'!V30</f>
        <v>90.5</v>
      </c>
      <c r="D30" s="66">
        <f>'P3'!W30</f>
        <v>72.8</v>
      </c>
      <c r="E30" s="66">
        <f>'P4'!O30</f>
        <v>100</v>
      </c>
      <c r="F30" s="38"/>
      <c r="G30" s="42">
        <f t="shared" si="0"/>
        <v>89.719791666666666</v>
      </c>
    </row>
    <row r="31" spans="1:7" ht="12.95" customHeight="1" x14ac:dyDescent="0.25">
      <c r="A31" s="37" t="s">
        <v>40</v>
      </c>
      <c r="B31" s="66">
        <f>('P1'!S31)</f>
        <v>93.375</v>
      </c>
      <c r="C31" s="66">
        <f>'P2'!V31</f>
        <v>73.3</v>
      </c>
      <c r="D31" s="66">
        <f>'P3'!W31</f>
        <v>70.900000000000006</v>
      </c>
      <c r="E31" s="66">
        <f>'P4'!O31</f>
        <v>100</v>
      </c>
      <c r="F31" s="38"/>
      <c r="G31" s="42">
        <f t="shared" si="0"/>
        <v>84.393750000000011</v>
      </c>
    </row>
    <row r="32" spans="1:7" ht="12.95" customHeight="1" x14ac:dyDescent="0.25">
      <c r="A32" s="37" t="s">
        <v>41</v>
      </c>
      <c r="B32" s="67">
        <f>('P1'!S32)</f>
        <v>65.35833333333332</v>
      </c>
      <c r="C32" s="67">
        <f>'P2'!V32</f>
        <v>52.5</v>
      </c>
      <c r="D32" s="67">
        <f>'P3'!W32</f>
        <v>30</v>
      </c>
      <c r="E32" s="66">
        <f>'P4'!O32</f>
        <v>100</v>
      </c>
      <c r="F32" s="38"/>
      <c r="G32" s="43">
        <f t="shared" si="0"/>
        <v>0</v>
      </c>
    </row>
    <row r="33" spans="1:7" ht="12.95" customHeight="1" x14ac:dyDescent="0.25">
      <c r="A33" s="37" t="s">
        <v>42</v>
      </c>
      <c r="B33" s="67">
        <f>('P1'!S33)</f>
        <v>31.175000000000001</v>
      </c>
      <c r="C33" s="67">
        <f>'P2'!V33</f>
        <v>23.25</v>
      </c>
      <c r="D33" s="67">
        <f>'P3'!W33</f>
        <v>35</v>
      </c>
      <c r="E33" s="66">
        <f>'P4'!O33</f>
        <v>100</v>
      </c>
      <c r="F33" s="38"/>
      <c r="G33" s="43">
        <f t="shared" si="0"/>
        <v>0</v>
      </c>
    </row>
    <row r="34" spans="1:7" ht="12.95" customHeight="1" x14ac:dyDescent="0.25">
      <c r="A34" s="37" t="s">
        <v>43</v>
      </c>
      <c r="B34" s="67">
        <f>('P1'!S34)</f>
        <v>55.825000000000003</v>
      </c>
      <c r="C34" s="66">
        <f>'P2'!V34</f>
        <v>72</v>
      </c>
      <c r="D34" s="67">
        <f>'P3'!W34</f>
        <v>30</v>
      </c>
      <c r="E34" s="66">
        <f>'P4'!O34</f>
        <v>100</v>
      </c>
      <c r="F34" s="38"/>
      <c r="G34" s="43">
        <f t="shared" si="0"/>
        <v>0</v>
      </c>
    </row>
    <row r="35" spans="1:7" ht="12.95" customHeight="1" x14ac:dyDescent="0.25">
      <c r="A35" s="37" t="s">
        <v>44</v>
      </c>
      <c r="B35" s="67">
        <f>('P1'!S35)</f>
        <v>18.5</v>
      </c>
      <c r="C35" s="67">
        <f>'P2'!V35</f>
        <v>0</v>
      </c>
      <c r="D35" s="67">
        <f>'P3'!W35</f>
        <v>30</v>
      </c>
      <c r="E35" s="66">
        <f>'P4'!O35</f>
        <v>100</v>
      </c>
      <c r="F35" s="38"/>
      <c r="G35" s="43">
        <f t="shared" si="0"/>
        <v>0</v>
      </c>
    </row>
    <row r="36" spans="1:7" ht="12.95" customHeight="1" x14ac:dyDescent="0.25">
      <c r="A36" s="37" t="s">
        <v>54</v>
      </c>
      <c r="B36" s="67">
        <f>('P1'!S36)</f>
        <v>42.9375</v>
      </c>
      <c r="C36" s="66">
        <f>'P2'!V36</f>
        <v>73.8</v>
      </c>
      <c r="D36" s="67">
        <f>'P3'!W36</f>
        <v>52.75</v>
      </c>
      <c r="E36" s="66">
        <f>'P4'!O36</f>
        <v>100</v>
      </c>
      <c r="F36" s="38"/>
      <c r="G36" s="43">
        <f t="shared" si="0"/>
        <v>0</v>
      </c>
    </row>
    <row r="37" spans="1:7" ht="12.95" customHeight="1" x14ac:dyDescent="0.25">
      <c r="A37" s="39" t="s">
        <v>58</v>
      </c>
      <c r="B37" s="67">
        <f>('P1'!S37)</f>
        <v>11</v>
      </c>
      <c r="C37" s="67">
        <f>'P2'!V37</f>
        <v>36.25</v>
      </c>
      <c r="D37" s="67">
        <f>'P3'!W37</f>
        <v>30</v>
      </c>
      <c r="E37" s="66">
        <f>'P4'!O37</f>
        <v>100</v>
      </c>
      <c r="F37" s="37"/>
      <c r="G37" s="43">
        <f t="shared" si="0"/>
        <v>0</v>
      </c>
    </row>
    <row r="38" spans="1:7" ht="12.95" customHeight="1" x14ac:dyDescent="0.25">
      <c r="A38" s="39" t="s">
        <v>61</v>
      </c>
      <c r="B38" s="67">
        <f>('P1'!S38)</f>
        <v>30.591666666666665</v>
      </c>
      <c r="C38" s="67">
        <f>'P2'!V38</f>
        <v>65.5</v>
      </c>
      <c r="D38" s="67">
        <f>'P3'!W38</f>
        <v>45.3</v>
      </c>
      <c r="E38" s="66">
        <f>'P4'!O38</f>
        <v>100</v>
      </c>
      <c r="F38" s="37"/>
      <c r="G38" s="43">
        <f t="shared" si="0"/>
        <v>0</v>
      </c>
    </row>
    <row r="39" spans="1:7" ht="12.95" customHeight="1" x14ac:dyDescent="0.25">
      <c r="A39" s="39" t="s">
        <v>62</v>
      </c>
      <c r="B39" s="67">
        <f>('P1'!S39)</f>
        <v>39.200000000000003</v>
      </c>
      <c r="C39" s="67">
        <f>'P2'!V39</f>
        <v>58.75</v>
      </c>
      <c r="D39" s="67">
        <f>'P3'!W39</f>
        <v>30</v>
      </c>
      <c r="E39" s="66">
        <f>'P4'!O39</f>
        <v>100</v>
      </c>
      <c r="F39" s="37"/>
      <c r="G39" s="43">
        <f t="shared" si="0"/>
        <v>0</v>
      </c>
    </row>
    <row r="40" spans="1:7" ht="12.95" customHeight="1" x14ac:dyDescent="0.25">
      <c r="A40" s="39" t="s">
        <v>66</v>
      </c>
      <c r="B40" s="67">
        <f>('P1'!S40)</f>
        <v>5</v>
      </c>
      <c r="C40" s="67">
        <f>'P2'!V40</f>
        <v>49.2</v>
      </c>
      <c r="D40" s="67">
        <f>'P3'!W40</f>
        <v>30</v>
      </c>
      <c r="E40" s="66">
        <f>'P4'!O40</f>
        <v>100</v>
      </c>
      <c r="F40" s="37"/>
      <c r="G40" s="43">
        <f t="shared" si="0"/>
        <v>0</v>
      </c>
    </row>
  </sheetData>
  <mergeCells count="1">
    <mergeCell ref="A1:G1"/>
  </mergeCells>
  <pageMargins left="0.7" right="0.7" top="0.75" bottom="0.75" header="0.3" footer="0.3"/>
  <pageSetup orientation="portrait" r:id="rId1"/>
  <drawing r:id="rId2"/>
  <legacyDrawing r:id="rId3"/>
  <controls>
    <mc:AlternateContent xmlns:mc="http://schemas.openxmlformats.org/markup-compatibility/2006">
      <mc:Choice Requires="x14">
        <control shapeId="1033" r:id="rId4" name="MG">
          <controlPr autoLine="0" r:id="rId5">
            <anchor moveWithCells="1">
              <from>
                <xdr:col>10</xdr:col>
                <xdr:colOff>104775</xdr:colOff>
                <xdr:row>0</xdr:row>
                <xdr:rowOff>371475</xdr:rowOff>
              </from>
              <to>
                <xdr:col>11</xdr:col>
                <xdr:colOff>257175</xdr:colOff>
                <xdr:row>0</xdr:row>
                <xdr:rowOff>600075</xdr:rowOff>
              </to>
            </anchor>
          </controlPr>
        </control>
      </mc:Choice>
      <mc:Fallback>
        <control shapeId="1033" r:id="rId4" name="MG"/>
      </mc:Fallback>
    </mc:AlternateContent>
    <mc:AlternateContent xmlns:mc="http://schemas.openxmlformats.org/markup-compatibility/2006">
      <mc:Choice Requires="x14">
        <control shapeId="1032" r:id="rId6" name="PA">
          <controlPr autoLine="0" r:id="rId7">
            <anchor moveWithCells="1">
              <from>
                <xdr:col>10</xdr:col>
                <xdr:colOff>104775</xdr:colOff>
                <xdr:row>0</xdr:row>
                <xdr:rowOff>66675</xdr:rowOff>
              </from>
              <to>
                <xdr:col>11</xdr:col>
                <xdr:colOff>257175</xdr:colOff>
                <xdr:row>0</xdr:row>
                <xdr:rowOff>295275</xdr:rowOff>
              </to>
            </anchor>
          </controlPr>
        </control>
      </mc:Choice>
      <mc:Fallback>
        <control shapeId="1032" r:id="rId6" name="PA"/>
      </mc:Fallback>
    </mc:AlternateContent>
    <mc:AlternateContent xmlns:mc="http://schemas.openxmlformats.org/markup-compatibility/2006">
      <mc:Choice Requires="x14">
        <control shapeId="1025" r:id="rId8" name="Button 1">
          <controlPr defaultSize="0" print="0" autoFill="0" autoPict="0" macro="[0]!Hoja1.Formatear">
            <anchor moveWithCells="1" sizeWithCells="1">
              <from>
                <xdr:col>7</xdr:col>
                <xdr:colOff>123825</xdr:colOff>
                <xdr:row>0</xdr:row>
                <xdr:rowOff>390525</xdr:rowOff>
              </from>
              <to>
                <xdr:col>8</xdr:col>
                <xdr:colOff>285750</xdr:colOff>
                <xdr:row>1</xdr:row>
                <xdr:rowOff>19050</xdr:rowOff>
              </to>
            </anchor>
          </controlPr>
        </control>
      </mc:Choice>
    </mc:AlternateContent>
    <mc:AlternateContent xmlns:mc="http://schemas.openxmlformats.org/markup-compatibility/2006">
      <mc:Choice Requires="x14">
        <control shapeId="1028" r:id="rId9" name="Button 4">
          <controlPr defaultSize="0" print="0" autoFill="0" autoPict="0" macro="[0]!Hoja1.Restaurar">
            <anchor moveWithCells="1" sizeWithCells="1">
              <from>
                <xdr:col>7</xdr:col>
                <xdr:colOff>114300</xdr:colOff>
                <xdr:row>0</xdr:row>
                <xdr:rowOff>57150</xdr:rowOff>
              </from>
              <to>
                <xdr:col>8</xdr:col>
                <xdr:colOff>266700</xdr:colOff>
                <xdr:row>0</xdr:row>
                <xdr:rowOff>323850</xdr:rowOff>
              </to>
            </anchor>
          </controlPr>
        </control>
      </mc:Choice>
    </mc:AlternateContent>
    <mc:AlternateContent xmlns:mc="http://schemas.openxmlformats.org/markup-compatibility/2006">
      <mc:Choice Requires="x14">
        <control shapeId="1029" r:id="rId10" name="Label 5">
          <controlPr defaultSize="0" autoFill="0" autoLine="0" autoPict="0">
            <anchor moveWithCells="1" sizeWithCells="1">
              <from>
                <xdr:col>8</xdr:col>
                <xdr:colOff>466725</xdr:colOff>
                <xdr:row>0</xdr:row>
                <xdr:rowOff>104775</xdr:rowOff>
              </from>
              <to>
                <xdr:col>10</xdr:col>
                <xdr:colOff>342900</xdr:colOff>
                <xdr:row>0</xdr:row>
                <xdr:rowOff>342900</xdr:rowOff>
              </to>
            </anchor>
          </controlPr>
        </control>
      </mc:Choice>
    </mc:AlternateContent>
    <mc:AlternateContent xmlns:mc="http://schemas.openxmlformats.org/markup-compatibility/2006">
      <mc:Choice Requires="x14">
        <control shapeId="1031" r:id="rId11" name="Label 7">
          <controlPr defaultSize="0" autoFill="0" autoLine="0" autoPict="0">
            <anchor moveWithCells="1" sizeWithCells="1">
              <from>
                <xdr:col>8</xdr:col>
                <xdr:colOff>485775</xdr:colOff>
                <xdr:row>0</xdr:row>
                <xdr:rowOff>361950</xdr:rowOff>
              </from>
              <to>
                <xdr:col>10</xdr:col>
                <xdr:colOff>361950</xdr:colOff>
                <xdr:row>0</xdr:row>
                <xdr:rowOff>600075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S41"/>
  <sheetViews>
    <sheetView workbookViewId="0">
      <selection activeCell="O21" sqref="O21"/>
    </sheetView>
  </sheetViews>
  <sheetFormatPr baseColWidth="10" defaultRowHeight="15" x14ac:dyDescent="0.25"/>
  <cols>
    <col min="1" max="1" width="30.42578125" customWidth="1"/>
    <col min="2" max="8" width="5.7109375" customWidth="1"/>
    <col min="9" max="9" width="1.7109375" customWidth="1"/>
    <col min="10" max="13" width="5.7109375" customWidth="1"/>
    <col min="14" max="14" width="1.7109375" customWidth="1"/>
    <col min="15" max="15" width="12" customWidth="1"/>
    <col min="16" max="16" width="1.7109375" customWidth="1"/>
    <col min="18" max="18" width="1.7109375" customWidth="1"/>
    <col min="19" max="19" width="16.7109375" customWidth="1"/>
  </cols>
  <sheetData>
    <row r="1" spans="1:19" x14ac:dyDescent="0.25">
      <c r="A1" s="1"/>
      <c r="B1" s="76" t="s">
        <v>30</v>
      </c>
      <c r="C1" s="76"/>
      <c r="D1" s="76"/>
      <c r="E1" s="76"/>
      <c r="F1" s="76"/>
      <c r="G1" s="41"/>
      <c r="H1" s="20"/>
      <c r="I1" s="21"/>
      <c r="J1" s="76" t="s">
        <v>34</v>
      </c>
      <c r="K1" s="76"/>
      <c r="L1" s="76"/>
      <c r="M1" s="20"/>
      <c r="N1" s="21"/>
      <c r="O1" s="20" t="s">
        <v>35</v>
      </c>
      <c r="P1" s="21"/>
      <c r="Q1" s="20" t="s">
        <v>36</v>
      </c>
      <c r="R1" s="21"/>
      <c r="S1" s="20" t="s">
        <v>37</v>
      </c>
    </row>
    <row r="2" spans="1:19" x14ac:dyDescent="0.25">
      <c r="A2" s="13" t="s">
        <v>28</v>
      </c>
      <c r="B2" s="14" t="s">
        <v>7</v>
      </c>
      <c r="C2" s="14" t="s">
        <v>24</v>
      </c>
      <c r="D2" s="14" t="s">
        <v>25</v>
      </c>
      <c r="E2" s="14" t="s">
        <v>26</v>
      </c>
      <c r="F2" s="14" t="s">
        <v>27</v>
      </c>
      <c r="G2" s="14" t="s">
        <v>67</v>
      </c>
      <c r="H2" s="14" t="s">
        <v>38</v>
      </c>
      <c r="I2" s="15"/>
      <c r="J2" s="16" t="s">
        <v>31</v>
      </c>
      <c r="K2" s="16" t="s">
        <v>32</v>
      </c>
      <c r="L2" s="16" t="s">
        <v>33</v>
      </c>
      <c r="M2" s="16" t="s">
        <v>39</v>
      </c>
      <c r="N2" s="17"/>
      <c r="O2" s="18"/>
      <c r="P2" s="17"/>
      <c r="Q2" s="18"/>
      <c r="R2" s="17"/>
      <c r="S2" s="19"/>
    </row>
    <row r="3" spans="1:19" ht="12" customHeight="1" x14ac:dyDescent="0.25">
      <c r="A3" s="40" t="s">
        <v>0</v>
      </c>
      <c r="B3" s="10">
        <f>'Tareas-notas'!G3</f>
        <v>67.5</v>
      </c>
      <c r="C3" s="4">
        <v>67</v>
      </c>
      <c r="D3" s="4">
        <f>'Tareas-notas'!N3</f>
        <v>89</v>
      </c>
      <c r="E3" s="4">
        <f>'Tareas-notas'!U3</f>
        <v>85.5</v>
      </c>
      <c r="F3" s="4">
        <v>0</v>
      </c>
      <c r="G3" s="4">
        <v>80</v>
      </c>
      <c r="H3" s="4">
        <f>AVERAGE(B3:G3)</f>
        <v>64.833333333333329</v>
      </c>
      <c r="I3" s="11"/>
      <c r="J3" s="4">
        <v>100</v>
      </c>
      <c r="K3" s="4">
        <v>0</v>
      </c>
      <c r="L3" s="4"/>
      <c r="M3" s="4">
        <f>MAX(J3:L3)</f>
        <v>100</v>
      </c>
      <c r="N3" s="11"/>
      <c r="O3" s="4">
        <v>85</v>
      </c>
      <c r="P3" s="11"/>
      <c r="Q3" s="12">
        <f>100</f>
        <v>100</v>
      </c>
      <c r="R3" s="11"/>
      <c r="S3" s="12">
        <f>IF(SUM(H3*0.25,M3*0.15,O3*0.6,Q3*0.05)&gt;=100,100,SUM(H3*0.25,M3*0.15,O3*0.6,Q3*0.05))</f>
        <v>87.208333333333329</v>
      </c>
    </row>
    <row r="4" spans="1:19" ht="12" customHeight="1" x14ac:dyDescent="0.25">
      <c r="A4" s="40" t="s">
        <v>1</v>
      </c>
      <c r="B4" s="10">
        <f>'Tareas-notas'!G4</f>
        <v>81.5</v>
      </c>
      <c r="C4" s="4">
        <v>67</v>
      </c>
      <c r="D4" s="4">
        <f>'Tareas-notas'!N4</f>
        <v>93</v>
      </c>
      <c r="E4" s="4">
        <f>'Tareas-notas'!U4</f>
        <v>87.5</v>
      </c>
      <c r="F4" s="4">
        <v>50</v>
      </c>
      <c r="G4" s="4">
        <v>80</v>
      </c>
      <c r="H4" s="4">
        <f t="shared" ref="H4:H40" si="0">AVERAGE(B4:G4)</f>
        <v>76.5</v>
      </c>
      <c r="I4" s="11"/>
      <c r="J4" s="4">
        <v>100</v>
      </c>
      <c r="K4" s="4">
        <v>0</v>
      </c>
      <c r="L4" s="4"/>
      <c r="M4" s="4">
        <f t="shared" ref="M4:M40" si="1">MAX(J4:L4)</f>
        <v>100</v>
      </c>
      <c r="N4" s="11"/>
      <c r="O4" s="4">
        <v>84</v>
      </c>
      <c r="P4" s="11"/>
      <c r="Q4" s="12">
        <f>100</f>
        <v>100</v>
      </c>
      <c r="R4" s="11"/>
      <c r="S4" s="12">
        <f t="shared" ref="S4:S39" si="2">IF(SUM(H4*0.25,M4*0.15,O4*0.6,Q4*0.05)&gt;=100,100,SUM(H4*0.25,M4*0.15,O4*0.6,Q4*0.05))</f>
        <v>89.525000000000006</v>
      </c>
    </row>
    <row r="5" spans="1:19" ht="12" customHeight="1" x14ac:dyDescent="0.25">
      <c r="A5" s="40" t="s">
        <v>2</v>
      </c>
      <c r="B5" s="10">
        <f>'Tareas-notas'!G5</f>
        <v>78</v>
      </c>
      <c r="C5" s="4">
        <v>67</v>
      </c>
      <c r="D5" s="4">
        <f>'Tareas-notas'!N5</f>
        <v>81</v>
      </c>
      <c r="E5" s="4">
        <f>'Tareas-notas'!U5</f>
        <v>85.5</v>
      </c>
      <c r="F5" s="4">
        <v>75</v>
      </c>
      <c r="G5" s="4">
        <v>80</v>
      </c>
      <c r="H5" s="4">
        <f t="shared" si="0"/>
        <v>77.75</v>
      </c>
      <c r="I5" s="11"/>
      <c r="J5" s="4">
        <v>100</v>
      </c>
      <c r="K5" s="4">
        <v>0</v>
      </c>
      <c r="L5" s="4"/>
      <c r="M5" s="4">
        <f t="shared" si="1"/>
        <v>100</v>
      </c>
      <c r="N5" s="11"/>
      <c r="O5" s="4">
        <v>83</v>
      </c>
      <c r="P5" s="11"/>
      <c r="Q5" s="12">
        <f>100</f>
        <v>100</v>
      </c>
      <c r="R5" s="11"/>
      <c r="S5" s="12">
        <f t="shared" si="2"/>
        <v>89.237499999999997</v>
      </c>
    </row>
    <row r="6" spans="1:19" ht="12" customHeight="1" x14ac:dyDescent="0.25">
      <c r="A6" s="40" t="s">
        <v>59</v>
      </c>
      <c r="B6" s="10">
        <f>'Tareas-notas'!G6</f>
        <v>78.5</v>
      </c>
      <c r="C6" s="4">
        <v>0</v>
      </c>
      <c r="D6" s="4">
        <f>'Tareas-notas'!N6</f>
        <v>78.5</v>
      </c>
      <c r="E6" s="4">
        <f>'Tareas-notas'!U6</f>
        <v>71.5</v>
      </c>
      <c r="F6" s="4">
        <v>25</v>
      </c>
      <c r="G6" s="4">
        <v>85</v>
      </c>
      <c r="H6" s="4">
        <f t="shared" si="0"/>
        <v>56.416666666666664</v>
      </c>
      <c r="I6" s="11"/>
      <c r="J6" s="4">
        <v>100</v>
      </c>
      <c r="K6" s="4">
        <v>90</v>
      </c>
      <c r="L6" s="4"/>
      <c r="M6" s="4">
        <f t="shared" si="1"/>
        <v>100</v>
      </c>
      <c r="N6" s="11"/>
      <c r="O6" s="4">
        <v>65</v>
      </c>
      <c r="P6" s="11"/>
      <c r="Q6" s="12">
        <f>100</f>
        <v>100</v>
      </c>
      <c r="R6" s="11"/>
      <c r="S6" s="12">
        <f t="shared" si="2"/>
        <v>73.104166666666657</v>
      </c>
    </row>
    <row r="7" spans="1:19" ht="12" customHeight="1" x14ac:dyDescent="0.25">
      <c r="A7" s="40" t="s">
        <v>3</v>
      </c>
      <c r="B7" s="10">
        <f>'Tareas-notas'!G7</f>
        <v>78</v>
      </c>
      <c r="C7" s="4">
        <v>89</v>
      </c>
      <c r="D7" s="4">
        <f>'Tareas-notas'!N7</f>
        <v>24</v>
      </c>
      <c r="E7" s="4">
        <f>'Tareas-notas'!U7</f>
        <v>76</v>
      </c>
      <c r="F7" s="4">
        <v>50</v>
      </c>
      <c r="G7" s="4">
        <v>80</v>
      </c>
      <c r="H7" s="4">
        <f t="shared" si="0"/>
        <v>66.166666666666671</v>
      </c>
      <c r="I7" s="11"/>
      <c r="J7" s="4">
        <v>70</v>
      </c>
      <c r="K7" s="4">
        <v>0</v>
      </c>
      <c r="L7" s="4"/>
      <c r="M7" s="4">
        <f t="shared" si="1"/>
        <v>70</v>
      </c>
      <c r="N7" s="11"/>
      <c r="O7" s="4">
        <v>33</v>
      </c>
      <c r="P7" s="11"/>
      <c r="Q7" s="12">
        <f>100</f>
        <v>100</v>
      </c>
      <c r="R7" s="11"/>
      <c r="S7" s="12">
        <f t="shared" si="2"/>
        <v>51.841666666666669</v>
      </c>
    </row>
    <row r="8" spans="1:19" ht="12" customHeight="1" x14ac:dyDescent="0.25">
      <c r="A8" s="40" t="s">
        <v>4</v>
      </c>
      <c r="B8" s="10">
        <f>'Tareas-notas'!G8</f>
        <v>84.5</v>
      </c>
      <c r="C8" s="4">
        <v>89</v>
      </c>
      <c r="D8" s="4">
        <f>'Tareas-notas'!N8</f>
        <v>93</v>
      </c>
      <c r="E8" s="4">
        <f>'Tareas-notas'!U8</f>
        <v>90</v>
      </c>
      <c r="F8" s="4">
        <v>25</v>
      </c>
      <c r="G8" s="4">
        <v>85</v>
      </c>
      <c r="H8" s="4">
        <f t="shared" si="0"/>
        <v>77.75</v>
      </c>
      <c r="I8" s="11"/>
      <c r="J8" s="4">
        <v>100</v>
      </c>
      <c r="K8" s="4">
        <v>0</v>
      </c>
      <c r="L8" s="4"/>
      <c r="M8" s="4">
        <f t="shared" si="1"/>
        <v>100</v>
      </c>
      <c r="N8" s="11"/>
      <c r="O8" s="4">
        <v>53</v>
      </c>
      <c r="P8" s="11"/>
      <c r="Q8" s="12">
        <f>100</f>
        <v>100</v>
      </c>
      <c r="R8" s="11"/>
      <c r="S8" s="12">
        <f t="shared" si="2"/>
        <v>71.237499999999997</v>
      </c>
    </row>
    <row r="9" spans="1:19" ht="12" customHeight="1" x14ac:dyDescent="0.25">
      <c r="A9" s="40" t="s">
        <v>5</v>
      </c>
      <c r="B9" s="10">
        <f>'Tareas-notas'!G9</f>
        <v>93.5</v>
      </c>
      <c r="C9" s="4">
        <v>89</v>
      </c>
      <c r="D9" s="4">
        <f>'Tareas-notas'!N9</f>
        <v>35.5</v>
      </c>
      <c r="E9" s="4">
        <f>'Tareas-notas'!U9</f>
        <v>81</v>
      </c>
      <c r="F9" s="4">
        <v>25</v>
      </c>
      <c r="G9" s="4">
        <v>85</v>
      </c>
      <c r="H9" s="4">
        <f t="shared" si="0"/>
        <v>68.166666666666671</v>
      </c>
      <c r="I9" s="11"/>
      <c r="J9" s="4">
        <v>100</v>
      </c>
      <c r="K9" s="4">
        <v>0</v>
      </c>
      <c r="L9" s="4"/>
      <c r="M9" s="4">
        <f t="shared" si="1"/>
        <v>100</v>
      </c>
      <c r="N9" s="11"/>
      <c r="O9" s="4">
        <v>62</v>
      </c>
      <c r="P9" s="11"/>
      <c r="Q9" s="12">
        <f>100</f>
        <v>100</v>
      </c>
      <c r="R9" s="11"/>
      <c r="S9" s="12">
        <f t="shared" si="2"/>
        <v>74.241666666666674</v>
      </c>
    </row>
    <row r="10" spans="1:19" ht="12" customHeight="1" x14ac:dyDescent="0.25">
      <c r="A10" s="40" t="s">
        <v>6</v>
      </c>
      <c r="B10" s="10">
        <f>'Tareas-notas'!G10</f>
        <v>83</v>
      </c>
      <c r="C10" s="4">
        <v>0</v>
      </c>
      <c r="D10" s="4">
        <f>'Tareas-notas'!N10</f>
        <v>93</v>
      </c>
      <c r="E10" s="4">
        <f>'Tareas-notas'!U10</f>
        <v>90</v>
      </c>
      <c r="F10" s="4">
        <v>50</v>
      </c>
      <c r="G10" s="4">
        <v>80</v>
      </c>
      <c r="H10" s="4">
        <f t="shared" si="0"/>
        <v>66</v>
      </c>
      <c r="I10" s="11"/>
      <c r="J10" s="4">
        <v>100</v>
      </c>
      <c r="K10" s="4">
        <v>0</v>
      </c>
      <c r="L10" s="4"/>
      <c r="M10" s="4">
        <f t="shared" si="1"/>
        <v>100</v>
      </c>
      <c r="N10" s="11"/>
      <c r="O10" s="4">
        <v>8</v>
      </c>
      <c r="P10" s="11"/>
      <c r="Q10" s="12">
        <f>100</f>
        <v>100</v>
      </c>
      <c r="R10" s="11"/>
      <c r="S10" s="12">
        <f t="shared" si="2"/>
        <v>41.3</v>
      </c>
    </row>
    <row r="11" spans="1:19" ht="12" customHeight="1" x14ac:dyDescent="0.25">
      <c r="A11" s="40" t="s">
        <v>8</v>
      </c>
      <c r="B11" s="10">
        <f>'Tareas-notas'!G11</f>
        <v>88.5</v>
      </c>
      <c r="C11" s="4">
        <v>67</v>
      </c>
      <c r="D11" s="4">
        <f>'Tareas-notas'!N11</f>
        <v>89.5</v>
      </c>
      <c r="E11" s="4">
        <f>'Tareas-notas'!U11</f>
        <v>86</v>
      </c>
      <c r="F11" s="4">
        <v>25</v>
      </c>
      <c r="G11" s="4">
        <v>75</v>
      </c>
      <c r="H11" s="4">
        <f t="shared" si="0"/>
        <v>71.833333333333329</v>
      </c>
      <c r="I11" s="11"/>
      <c r="J11" s="4">
        <v>100</v>
      </c>
      <c r="K11" s="4">
        <v>0</v>
      </c>
      <c r="L11" s="4"/>
      <c r="M11" s="4">
        <f t="shared" si="1"/>
        <v>100</v>
      </c>
      <c r="N11" s="11"/>
      <c r="O11" s="4">
        <v>40</v>
      </c>
      <c r="P11" s="11"/>
      <c r="Q11" s="12">
        <f>100</f>
        <v>100</v>
      </c>
      <c r="R11" s="11"/>
      <c r="S11" s="12">
        <f t="shared" si="2"/>
        <v>61.958333333333329</v>
      </c>
    </row>
    <row r="12" spans="1:19" ht="12" customHeight="1" x14ac:dyDescent="0.25">
      <c r="A12" s="40" t="s">
        <v>9</v>
      </c>
      <c r="B12" s="10">
        <f>'Tareas-notas'!G12</f>
        <v>84.5</v>
      </c>
      <c r="C12" s="4">
        <v>56</v>
      </c>
      <c r="D12" s="4">
        <f>'Tareas-notas'!N12</f>
        <v>78.5</v>
      </c>
      <c r="E12" s="4">
        <f>'Tareas-notas'!U12</f>
        <v>83.5</v>
      </c>
      <c r="F12" s="4">
        <v>75</v>
      </c>
      <c r="G12" s="4">
        <v>75</v>
      </c>
      <c r="H12" s="4">
        <f t="shared" si="0"/>
        <v>75.416666666666671</v>
      </c>
      <c r="I12" s="11"/>
      <c r="J12" s="4">
        <v>100</v>
      </c>
      <c r="K12" s="4">
        <v>0</v>
      </c>
      <c r="L12" s="4"/>
      <c r="M12" s="4">
        <f t="shared" si="1"/>
        <v>100</v>
      </c>
      <c r="N12" s="11"/>
      <c r="O12" s="4">
        <v>23</v>
      </c>
      <c r="P12" s="11"/>
      <c r="Q12" s="12">
        <f>100</f>
        <v>100</v>
      </c>
      <c r="R12" s="11"/>
      <c r="S12" s="12">
        <f t="shared" si="2"/>
        <v>52.654166666666669</v>
      </c>
    </row>
    <row r="13" spans="1:19" ht="12" customHeight="1" x14ac:dyDescent="0.25">
      <c r="A13" s="40" t="s">
        <v>10</v>
      </c>
      <c r="B13" s="10">
        <f>'Tareas-notas'!G13</f>
        <v>75</v>
      </c>
      <c r="C13" s="4">
        <v>0</v>
      </c>
      <c r="D13" s="4">
        <f>'Tareas-notas'!N13</f>
        <v>77.5</v>
      </c>
      <c r="E13" s="4">
        <f>'Tareas-notas'!U13</f>
        <v>86.5</v>
      </c>
      <c r="F13" s="4">
        <v>50</v>
      </c>
      <c r="G13" s="4">
        <v>35</v>
      </c>
      <c r="H13" s="4">
        <f t="shared" si="0"/>
        <v>54</v>
      </c>
      <c r="I13" s="11"/>
      <c r="J13" s="4">
        <v>100</v>
      </c>
      <c r="K13" s="4">
        <v>0</v>
      </c>
      <c r="L13" s="4"/>
      <c r="M13" s="4">
        <f t="shared" si="1"/>
        <v>100</v>
      </c>
      <c r="N13" s="11"/>
      <c r="O13" s="4">
        <v>23</v>
      </c>
      <c r="P13" s="11"/>
      <c r="Q13" s="12">
        <f>100</f>
        <v>100</v>
      </c>
      <c r="R13" s="11"/>
      <c r="S13" s="12">
        <f t="shared" si="2"/>
        <v>47.3</v>
      </c>
    </row>
    <row r="14" spans="1:19" ht="12" customHeight="1" x14ac:dyDescent="0.25">
      <c r="A14" s="40" t="s">
        <v>11</v>
      </c>
      <c r="B14" s="10">
        <f>'Tareas-notas'!G14</f>
        <v>0</v>
      </c>
      <c r="C14" s="4">
        <v>0</v>
      </c>
      <c r="D14" s="4">
        <f>'Tareas-notas'!N14</f>
        <v>0</v>
      </c>
      <c r="E14" s="4">
        <f>'Tareas-notas'!U14</f>
        <v>88</v>
      </c>
      <c r="F14" s="4">
        <v>0</v>
      </c>
      <c r="G14" s="4">
        <v>60</v>
      </c>
      <c r="H14" s="4">
        <f t="shared" si="0"/>
        <v>24.666666666666668</v>
      </c>
      <c r="I14" s="11"/>
      <c r="J14" s="4">
        <v>0</v>
      </c>
      <c r="K14" s="4">
        <v>0</v>
      </c>
      <c r="L14" s="4"/>
      <c r="M14" s="4">
        <f t="shared" si="1"/>
        <v>0</v>
      </c>
      <c r="N14" s="11"/>
      <c r="O14" s="4">
        <v>25</v>
      </c>
      <c r="P14" s="11"/>
      <c r="Q14" s="12">
        <f>100</f>
        <v>100</v>
      </c>
      <c r="R14" s="11"/>
      <c r="S14" s="12">
        <f t="shared" si="2"/>
        <v>26.166666666666668</v>
      </c>
    </row>
    <row r="15" spans="1:19" ht="12" customHeight="1" x14ac:dyDescent="0.25">
      <c r="A15" s="40" t="s">
        <v>12</v>
      </c>
      <c r="B15" s="10">
        <f>'Tareas-notas'!G15</f>
        <v>85</v>
      </c>
      <c r="C15" s="4">
        <v>33</v>
      </c>
      <c r="D15" s="4">
        <f>'Tareas-notas'!N15</f>
        <v>90</v>
      </c>
      <c r="E15" s="4">
        <f>'Tareas-notas'!U15</f>
        <v>87</v>
      </c>
      <c r="F15" s="4">
        <v>0</v>
      </c>
      <c r="G15" s="4">
        <v>80</v>
      </c>
      <c r="H15" s="4">
        <f t="shared" si="0"/>
        <v>62.5</v>
      </c>
      <c r="I15" s="11"/>
      <c r="J15" s="4">
        <v>0</v>
      </c>
      <c r="K15" s="4">
        <v>90</v>
      </c>
      <c r="L15" s="4"/>
      <c r="M15" s="4">
        <f t="shared" si="1"/>
        <v>90</v>
      </c>
      <c r="N15" s="11"/>
      <c r="O15" s="4">
        <v>64</v>
      </c>
      <c r="P15" s="11"/>
      <c r="Q15" s="12">
        <f>100</f>
        <v>100</v>
      </c>
      <c r="R15" s="11"/>
      <c r="S15" s="12">
        <f t="shared" si="2"/>
        <v>72.525000000000006</v>
      </c>
    </row>
    <row r="16" spans="1:19" ht="12" customHeight="1" x14ac:dyDescent="0.25">
      <c r="A16" s="40" t="s">
        <v>13</v>
      </c>
      <c r="B16" s="10">
        <f>'Tareas-notas'!G16</f>
        <v>80.5</v>
      </c>
      <c r="C16" s="4">
        <v>100</v>
      </c>
      <c r="D16" s="4">
        <f>'Tareas-notas'!N16</f>
        <v>92.5</v>
      </c>
      <c r="E16" s="4">
        <f>'Tareas-notas'!U16</f>
        <v>84</v>
      </c>
      <c r="F16" s="4">
        <v>50</v>
      </c>
      <c r="G16" s="4">
        <v>85</v>
      </c>
      <c r="H16" s="4">
        <f t="shared" si="0"/>
        <v>82</v>
      </c>
      <c r="I16" s="11"/>
      <c r="J16" s="4">
        <v>70</v>
      </c>
      <c r="K16" s="4">
        <v>0</v>
      </c>
      <c r="L16" s="4"/>
      <c r="M16" s="4">
        <f t="shared" si="1"/>
        <v>70</v>
      </c>
      <c r="N16" s="11"/>
      <c r="O16" s="4">
        <v>24</v>
      </c>
      <c r="P16" s="11"/>
      <c r="Q16" s="12">
        <f>100</f>
        <v>100</v>
      </c>
      <c r="R16" s="11"/>
      <c r="S16" s="12">
        <f t="shared" si="2"/>
        <v>50.4</v>
      </c>
    </row>
    <row r="17" spans="1:19" ht="12" customHeight="1" x14ac:dyDescent="0.25">
      <c r="A17" s="40" t="s">
        <v>14</v>
      </c>
      <c r="B17" s="10">
        <f>'Tareas-notas'!G17</f>
        <v>93</v>
      </c>
      <c r="C17" s="4">
        <v>0</v>
      </c>
      <c r="D17" s="4">
        <f>'Tareas-notas'!N17</f>
        <v>93</v>
      </c>
      <c r="E17" s="4">
        <f>'Tareas-notas'!U17</f>
        <v>87</v>
      </c>
      <c r="F17" s="4">
        <v>50</v>
      </c>
      <c r="G17" s="4">
        <v>5</v>
      </c>
      <c r="H17" s="4">
        <f t="shared" si="0"/>
        <v>54.666666666666664</v>
      </c>
      <c r="I17" s="11"/>
      <c r="J17" s="4">
        <v>0</v>
      </c>
      <c r="K17" s="4">
        <v>0</v>
      </c>
      <c r="L17" s="4"/>
      <c r="M17" s="4">
        <f t="shared" si="1"/>
        <v>0</v>
      </c>
      <c r="N17" s="11"/>
      <c r="O17" s="4">
        <v>3</v>
      </c>
      <c r="P17" s="11"/>
      <c r="Q17" s="12">
        <f>100</f>
        <v>100</v>
      </c>
      <c r="R17" s="11"/>
      <c r="S17" s="12">
        <f t="shared" si="2"/>
        <v>20.466666666666665</v>
      </c>
    </row>
    <row r="18" spans="1:19" ht="12" customHeight="1" x14ac:dyDescent="0.25">
      <c r="A18" s="40" t="s">
        <v>15</v>
      </c>
      <c r="B18" s="10">
        <f>'Tareas-notas'!G18</f>
        <v>95</v>
      </c>
      <c r="C18" s="4">
        <v>89</v>
      </c>
      <c r="D18" s="4">
        <f>'Tareas-notas'!N18</f>
        <v>94.5</v>
      </c>
      <c r="E18" s="4">
        <f>'Tareas-notas'!U18</f>
        <v>90.5</v>
      </c>
      <c r="F18" s="4">
        <v>100</v>
      </c>
      <c r="G18" s="4">
        <v>80</v>
      </c>
      <c r="H18" s="4">
        <f t="shared" si="0"/>
        <v>91.5</v>
      </c>
      <c r="I18" s="11"/>
      <c r="J18" s="4">
        <v>100</v>
      </c>
      <c r="K18" s="4">
        <v>0</v>
      </c>
      <c r="L18" s="4"/>
      <c r="M18" s="4">
        <f t="shared" si="1"/>
        <v>100</v>
      </c>
      <c r="N18" s="11"/>
      <c r="O18" s="4">
        <v>63</v>
      </c>
      <c r="P18" s="11"/>
      <c r="Q18" s="12">
        <f>100</f>
        <v>100</v>
      </c>
      <c r="R18" s="11"/>
      <c r="S18" s="12">
        <f t="shared" si="2"/>
        <v>80.674999999999997</v>
      </c>
    </row>
    <row r="19" spans="1:19" ht="12" customHeight="1" x14ac:dyDescent="0.25">
      <c r="A19" s="40" t="s">
        <v>16</v>
      </c>
      <c r="B19" s="10">
        <f>'Tareas-notas'!G19</f>
        <v>77</v>
      </c>
      <c r="C19" s="4">
        <v>67</v>
      </c>
      <c r="D19" s="4">
        <f>'Tareas-notas'!N19</f>
        <v>90.5</v>
      </c>
      <c r="E19" s="4">
        <f>'Tareas-notas'!U19</f>
        <v>90.5</v>
      </c>
      <c r="F19" s="4">
        <v>90</v>
      </c>
      <c r="G19" s="4">
        <v>80</v>
      </c>
      <c r="H19" s="4">
        <f t="shared" si="0"/>
        <v>82.5</v>
      </c>
      <c r="I19" s="11"/>
      <c r="J19" s="4">
        <v>70</v>
      </c>
      <c r="K19" s="4">
        <v>0</v>
      </c>
      <c r="L19" s="4"/>
      <c r="M19" s="4">
        <f t="shared" si="1"/>
        <v>70</v>
      </c>
      <c r="N19" s="11"/>
      <c r="O19" s="4">
        <v>39</v>
      </c>
      <c r="P19" s="11"/>
      <c r="Q19" s="12">
        <f>100</f>
        <v>100</v>
      </c>
      <c r="R19" s="11"/>
      <c r="S19" s="12">
        <f t="shared" si="2"/>
        <v>59.524999999999999</v>
      </c>
    </row>
    <row r="20" spans="1:19" ht="12" customHeight="1" x14ac:dyDescent="0.25">
      <c r="A20" s="40" t="s">
        <v>52</v>
      </c>
      <c r="B20" s="10">
        <f>'Tareas-notas'!G20</f>
        <v>76.5</v>
      </c>
      <c r="C20" s="4">
        <v>0</v>
      </c>
      <c r="D20" s="4">
        <f>'Tareas-notas'!N20</f>
        <v>95</v>
      </c>
      <c r="E20" s="4">
        <f>'Tareas-notas'!U20</f>
        <v>91</v>
      </c>
      <c r="F20" s="4">
        <v>0</v>
      </c>
      <c r="G20" s="4">
        <v>70</v>
      </c>
      <c r="H20" s="4">
        <f t="shared" si="0"/>
        <v>55.416666666666664</v>
      </c>
      <c r="I20" s="11"/>
      <c r="J20" s="4">
        <v>100</v>
      </c>
      <c r="K20" s="4">
        <v>90</v>
      </c>
      <c r="L20" s="4"/>
      <c r="M20" s="4">
        <f t="shared" si="1"/>
        <v>100</v>
      </c>
      <c r="N20" s="11"/>
      <c r="O20" s="4">
        <v>22</v>
      </c>
      <c r="P20" s="11"/>
      <c r="Q20" s="12">
        <f>100</f>
        <v>100</v>
      </c>
      <c r="R20" s="11"/>
      <c r="S20" s="12">
        <f t="shared" si="2"/>
        <v>47.05416666666666</v>
      </c>
    </row>
    <row r="21" spans="1:19" ht="12" customHeight="1" x14ac:dyDescent="0.25">
      <c r="A21" s="40" t="s">
        <v>17</v>
      </c>
      <c r="B21" s="10">
        <f>'Tareas-notas'!G21</f>
        <v>81</v>
      </c>
      <c r="C21" s="4">
        <v>62</v>
      </c>
      <c r="D21" s="4">
        <f>'Tareas-notas'!N21</f>
        <v>89</v>
      </c>
      <c r="E21" s="4">
        <f>'Tareas-notas'!U21</f>
        <v>92</v>
      </c>
      <c r="F21" s="4">
        <v>100</v>
      </c>
      <c r="G21" s="4">
        <v>80</v>
      </c>
      <c r="H21" s="4">
        <f t="shared" si="0"/>
        <v>84</v>
      </c>
      <c r="I21" s="11"/>
      <c r="J21" s="4">
        <v>70</v>
      </c>
      <c r="K21" s="4">
        <v>0</v>
      </c>
      <c r="L21" s="4"/>
      <c r="M21" s="4">
        <f t="shared" si="1"/>
        <v>70</v>
      </c>
      <c r="N21" s="11"/>
      <c r="O21" s="4">
        <v>55</v>
      </c>
      <c r="P21" s="11"/>
      <c r="Q21" s="12">
        <f>100</f>
        <v>100</v>
      </c>
      <c r="R21" s="11"/>
      <c r="S21" s="12">
        <f t="shared" si="2"/>
        <v>69.5</v>
      </c>
    </row>
    <row r="22" spans="1:19" ht="12" customHeight="1" x14ac:dyDescent="0.25">
      <c r="A22" s="40" t="s">
        <v>18</v>
      </c>
      <c r="B22" s="10">
        <f>'Tareas-notas'!G22</f>
        <v>93</v>
      </c>
      <c r="C22" s="4">
        <v>100</v>
      </c>
      <c r="D22" s="4">
        <f>'Tareas-notas'!N22</f>
        <v>93.5</v>
      </c>
      <c r="E22" s="4">
        <f>'Tareas-notas'!U22</f>
        <v>89.5</v>
      </c>
      <c r="F22" s="4">
        <v>70</v>
      </c>
      <c r="G22" s="4">
        <v>80</v>
      </c>
      <c r="H22" s="4">
        <f t="shared" si="0"/>
        <v>87.666666666666671</v>
      </c>
      <c r="I22" s="11"/>
      <c r="J22" s="4">
        <v>100</v>
      </c>
      <c r="K22" s="4">
        <v>0</v>
      </c>
      <c r="L22" s="4"/>
      <c r="M22" s="4">
        <f t="shared" si="1"/>
        <v>100</v>
      </c>
      <c r="N22" s="11"/>
      <c r="O22" s="4">
        <v>63</v>
      </c>
      <c r="P22" s="11"/>
      <c r="Q22" s="12">
        <f>100</f>
        <v>100</v>
      </c>
      <c r="R22" s="11"/>
      <c r="S22" s="12">
        <f t="shared" si="2"/>
        <v>79.716666666666669</v>
      </c>
    </row>
    <row r="23" spans="1:19" ht="12" customHeight="1" x14ac:dyDescent="0.25">
      <c r="A23" s="40" t="s">
        <v>19</v>
      </c>
      <c r="B23" s="10">
        <f>'Tareas-notas'!G23</f>
        <v>52</v>
      </c>
      <c r="C23" s="4">
        <v>100</v>
      </c>
      <c r="D23" s="4">
        <f>'Tareas-notas'!N23</f>
        <v>89</v>
      </c>
      <c r="E23" s="4">
        <f>'Tareas-notas'!U23</f>
        <v>73</v>
      </c>
      <c r="F23" s="4">
        <v>65</v>
      </c>
      <c r="G23" s="4">
        <v>80</v>
      </c>
      <c r="H23" s="4">
        <f t="shared" si="0"/>
        <v>76.5</v>
      </c>
      <c r="I23" s="11"/>
      <c r="J23" s="4">
        <v>70</v>
      </c>
      <c r="K23" s="4">
        <v>0</v>
      </c>
      <c r="L23" s="4"/>
      <c r="M23" s="4">
        <f t="shared" si="1"/>
        <v>70</v>
      </c>
      <c r="N23" s="11"/>
      <c r="O23" s="4">
        <v>55</v>
      </c>
      <c r="P23" s="11"/>
      <c r="Q23" s="12">
        <f>100</f>
        <v>100</v>
      </c>
      <c r="R23" s="11"/>
      <c r="S23" s="12">
        <f t="shared" si="2"/>
        <v>67.625</v>
      </c>
    </row>
    <row r="24" spans="1:19" ht="12" customHeight="1" x14ac:dyDescent="0.25">
      <c r="A24" s="40" t="s">
        <v>20</v>
      </c>
      <c r="B24" s="10">
        <f>'Tareas-notas'!G24</f>
        <v>89</v>
      </c>
      <c r="C24" s="4">
        <v>89</v>
      </c>
      <c r="D24" s="4">
        <f>'Tareas-notas'!N24</f>
        <v>92.5</v>
      </c>
      <c r="E24" s="4">
        <f>'Tareas-notas'!U24</f>
        <v>89</v>
      </c>
      <c r="F24" s="4">
        <v>100</v>
      </c>
      <c r="G24" s="4">
        <v>85</v>
      </c>
      <c r="H24" s="4">
        <f t="shared" si="0"/>
        <v>90.75</v>
      </c>
      <c r="I24" s="11"/>
      <c r="J24" s="4">
        <v>100</v>
      </c>
      <c r="K24" s="4">
        <v>90</v>
      </c>
      <c r="L24" s="4"/>
      <c r="M24" s="4">
        <f t="shared" si="1"/>
        <v>100</v>
      </c>
      <c r="N24" s="11"/>
      <c r="O24" s="4">
        <v>78</v>
      </c>
      <c r="P24" s="11"/>
      <c r="Q24" s="12">
        <f>100</f>
        <v>100</v>
      </c>
      <c r="R24" s="11"/>
      <c r="S24" s="12">
        <f t="shared" si="2"/>
        <v>89.487499999999997</v>
      </c>
    </row>
    <row r="25" spans="1:19" ht="12" customHeight="1" x14ac:dyDescent="0.25">
      <c r="A25" s="40" t="s">
        <v>21</v>
      </c>
      <c r="B25" s="10">
        <f>'Tareas-notas'!G25</f>
        <v>80.5</v>
      </c>
      <c r="C25" s="4">
        <v>100</v>
      </c>
      <c r="D25" s="4">
        <f>'Tareas-notas'!N25</f>
        <v>92</v>
      </c>
      <c r="E25" s="4">
        <f>'Tareas-notas'!U25</f>
        <v>90</v>
      </c>
      <c r="F25" s="4">
        <v>65</v>
      </c>
      <c r="G25" s="4">
        <v>80</v>
      </c>
      <c r="H25" s="4">
        <f t="shared" si="0"/>
        <v>84.583333333333329</v>
      </c>
      <c r="I25" s="11"/>
      <c r="J25" s="4">
        <v>100</v>
      </c>
      <c r="K25" s="4">
        <v>0</v>
      </c>
      <c r="L25" s="4"/>
      <c r="M25" s="4">
        <f t="shared" si="1"/>
        <v>100</v>
      </c>
      <c r="N25" s="11"/>
      <c r="O25" s="4">
        <v>39</v>
      </c>
      <c r="P25" s="11"/>
      <c r="Q25" s="12">
        <f>100</f>
        <v>100</v>
      </c>
      <c r="R25" s="11"/>
      <c r="S25" s="12">
        <f t="shared" si="2"/>
        <v>64.54583333333332</v>
      </c>
    </row>
    <row r="26" spans="1:19" ht="12" customHeight="1" x14ac:dyDescent="0.25">
      <c r="A26" s="40" t="s">
        <v>22</v>
      </c>
      <c r="B26" s="10">
        <f>'Tareas-notas'!G26</f>
        <v>91.5</v>
      </c>
      <c r="C26" s="4">
        <v>89</v>
      </c>
      <c r="D26" s="4">
        <f>'Tareas-notas'!N26</f>
        <v>79.5</v>
      </c>
      <c r="E26" s="4">
        <f>'Tareas-notas'!U26</f>
        <v>91</v>
      </c>
      <c r="F26" s="4">
        <v>100</v>
      </c>
      <c r="G26" s="4">
        <v>75</v>
      </c>
      <c r="H26" s="4">
        <f t="shared" si="0"/>
        <v>87.666666666666671</v>
      </c>
      <c r="I26" s="11"/>
      <c r="J26" s="4">
        <v>100</v>
      </c>
      <c r="K26" s="4">
        <v>90</v>
      </c>
      <c r="L26" s="4"/>
      <c r="M26" s="4">
        <f t="shared" si="1"/>
        <v>100</v>
      </c>
      <c r="N26" s="11"/>
      <c r="O26" s="4">
        <v>33</v>
      </c>
      <c r="P26" s="11"/>
      <c r="Q26" s="12">
        <f>100</f>
        <v>100</v>
      </c>
      <c r="R26" s="11"/>
      <c r="S26" s="12">
        <f t="shared" si="2"/>
        <v>61.716666666666669</v>
      </c>
    </row>
    <row r="27" spans="1:19" ht="12" customHeight="1" x14ac:dyDescent="0.25">
      <c r="A27" s="40" t="s">
        <v>60</v>
      </c>
      <c r="B27" s="10">
        <f>'Tareas-notas'!G27</f>
        <v>80.5</v>
      </c>
      <c r="C27" s="4">
        <v>78</v>
      </c>
      <c r="D27" s="4">
        <f>'Tareas-notas'!N27</f>
        <v>77</v>
      </c>
      <c r="E27" s="4">
        <f>'Tareas-notas'!U27</f>
        <v>80</v>
      </c>
      <c r="F27" s="4">
        <v>25</v>
      </c>
      <c r="G27" s="4">
        <v>75</v>
      </c>
      <c r="H27" s="4">
        <f t="shared" si="0"/>
        <v>69.25</v>
      </c>
      <c r="I27" s="11"/>
      <c r="J27" s="4">
        <v>70</v>
      </c>
      <c r="K27" s="4">
        <v>0</v>
      </c>
      <c r="L27" s="4"/>
      <c r="M27" s="4">
        <f t="shared" si="1"/>
        <v>70</v>
      </c>
      <c r="N27" s="11"/>
      <c r="O27" s="4">
        <v>48</v>
      </c>
      <c r="P27" s="11"/>
      <c r="Q27" s="12">
        <f>100</f>
        <v>100</v>
      </c>
      <c r="R27" s="11"/>
      <c r="S27" s="12">
        <f t="shared" si="2"/>
        <v>61.612499999999997</v>
      </c>
    </row>
    <row r="28" spans="1:19" ht="12" customHeight="1" x14ac:dyDescent="0.25">
      <c r="A28" s="40" t="s">
        <v>51</v>
      </c>
      <c r="B28" s="10">
        <f>'Tareas-notas'!G28</f>
        <v>89.5</v>
      </c>
      <c r="C28" s="4">
        <v>0</v>
      </c>
      <c r="D28" s="4">
        <f>'Tareas-notas'!N28</f>
        <v>80</v>
      </c>
      <c r="E28" s="4">
        <f>'Tareas-notas'!U28</f>
        <v>80</v>
      </c>
      <c r="F28" s="4">
        <v>50</v>
      </c>
      <c r="G28" s="4">
        <v>75</v>
      </c>
      <c r="H28" s="4">
        <f t="shared" si="0"/>
        <v>62.416666666666664</v>
      </c>
      <c r="I28" s="11"/>
      <c r="J28" s="4">
        <v>100</v>
      </c>
      <c r="K28" s="4">
        <v>0</v>
      </c>
      <c r="L28" s="4"/>
      <c r="M28" s="4">
        <f t="shared" si="1"/>
        <v>100</v>
      </c>
      <c r="N28" s="11"/>
      <c r="O28" s="4">
        <v>39</v>
      </c>
      <c r="P28" s="11"/>
      <c r="Q28" s="12">
        <f>100</f>
        <v>100</v>
      </c>
      <c r="R28" s="11"/>
      <c r="S28" s="12">
        <f t="shared" si="2"/>
        <v>59.004166666666663</v>
      </c>
    </row>
    <row r="29" spans="1:19" ht="12" customHeight="1" x14ac:dyDescent="0.25">
      <c r="A29" s="40" t="s">
        <v>23</v>
      </c>
      <c r="B29" s="10">
        <f>'Tareas-notas'!G29</f>
        <v>80.5</v>
      </c>
      <c r="C29" s="4">
        <v>67</v>
      </c>
      <c r="D29" s="4">
        <f>'Tareas-notas'!N29</f>
        <v>89.5</v>
      </c>
      <c r="E29" s="4">
        <f>'Tareas-notas'!U29</f>
        <v>83.5</v>
      </c>
      <c r="F29" s="4">
        <v>50</v>
      </c>
      <c r="G29" s="4">
        <v>80</v>
      </c>
      <c r="H29" s="4">
        <f t="shared" si="0"/>
        <v>75.083333333333329</v>
      </c>
      <c r="I29" s="11"/>
      <c r="J29" s="4">
        <v>100</v>
      </c>
      <c r="K29" s="4">
        <v>0</v>
      </c>
      <c r="L29" s="4"/>
      <c r="M29" s="4">
        <f t="shared" si="1"/>
        <v>100</v>
      </c>
      <c r="N29" s="11"/>
      <c r="O29" s="4">
        <v>78</v>
      </c>
      <c r="P29" s="11"/>
      <c r="Q29" s="12">
        <f>100</f>
        <v>100</v>
      </c>
      <c r="R29" s="11"/>
      <c r="S29" s="12">
        <f t="shared" si="2"/>
        <v>85.570833333333326</v>
      </c>
    </row>
    <row r="30" spans="1:19" ht="12" customHeight="1" x14ac:dyDescent="0.25">
      <c r="A30" s="40" t="s">
        <v>29</v>
      </c>
      <c r="B30" s="10">
        <f>'Tareas-notas'!G30</f>
        <v>75</v>
      </c>
      <c r="C30" s="4">
        <v>89</v>
      </c>
      <c r="D30" s="4">
        <f>'Tareas-notas'!N30</f>
        <v>78</v>
      </c>
      <c r="E30" s="4">
        <f>'Tareas-notas'!U30</f>
        <v>86.5</v>
      </c>
      <c r="F30" s="4">
        <v>100</v>
      </c>
      <c r="G30" s="4">
        <v>75</v>
      </c>
      <c r="H30" s="4">
        <f t="shared" si="0"/>
        <v>83.916666666666671</v>
      </c>
      <c r="I30" s="11"/>
      <c r="J30" s="4">
        <v>100</v>
      </c>
      <c r="K30" s="4">
        <v>0</v>
      </c>
      <c r="L30" s="4"/>
      <c r="M30" s="4">
        <f t="shared" si="1"/>
        <v>100</v>
      </c>
      <c r="N30" s="11"/>
      <c r="O30" s="4">
        <v>91</v>
      </c>
      <c r="P30" s="11"/>
      <c r="Q30" s="12">
        <f>100</f>
        <v>100</v>
      </c>
      <c r="R30" s="11"/>
      <c r="S30" s="12">
        <f t="shared" si="2"/>
        <v>95.57916666666668</v>
      </c>
    </row>
    <row r="31" spans="1:19" ht="12" customHeight="1" x14ac:dyDescent="0.25">
      <c r="A31" s="40" t="s">
        <v>40</v>
      </c>
      <c r="B31" s="10">
        <f>'Tareas-notas'!G31</f>
        <v>80.5</v>
      </c>
      <c r="C31" s="4">
        <v>89</v>
      </c>
      <c r="D31" s="4">
        <f>'Tareas-notas'!N31</f>
        <v>93.5</v>
      </c>
      <c r="E31" s="4">
        <f>'Tareas-notas'!U31</f>
        <v>94</v>
      </c>
      <c r="F31" s="4">
        <v>100</v>
      </c>
      <c r="G31" s="4">
        <v>80</v>
      </c>
      <c r="H31" s="4">
        <f t="shared" si="0"/>
        <v>89.5</v>
      </c>
      <c r="I31" s="11"/>
      <c r="J31" s="4">
        <v>100</v>
      </c>
      <c r="K31" s="4">
        <v>90</v>
      </c>
      <c r="L31" s="4"/>
      <c r="M31" s="4">
        <f t="shared" si="1"/>
        <v>100</v>
      </c>
      <c r="N31" s="11"/>
      <c r="O31" s="4">
        <v>85</v>
      </c>
      <c r="P31" s="11"/>
      <c r="Q31" s="12">
        <f>100</f>
        <v>100</v>
      </c>
      <c r="R31" s="11"/>
      <c r="S31" s="12">
        <f t="shared" si="2"/>
        <v>93.375</v>
      </c>
    </row>
    <row r="32" spans="1:19" ht="12" customHeight="1" x14ac:dyDescent="0.25">
      <c r="A32" s="40" t="s">
        <v>41</v>
      </c>
      <c r="B32" s="10">
        <f>'Tareas-notas'!G32</f>
        <v>68</v>
      </c>
      <c r="C32" s="4">
        <v>89</v>
      </c>
      <c r="D32" s="4">
        <f>'Tareas-notas'!N32</f>
        <v>80</v>
      </c>
      <c r="E32" s="4">
        <f>'Tareas-notas'!U32</f>
        <v>88</v>
      </c>
      <c r="F32" s="4">
        <v>50</v>
      </c>
      <c r="G32" s="4">
        <v>80</v>
      </c>
      <c r="H32" s="4">
        <f t="shared" si="0"/>
        <v>75.833333333333329</v>
      </c>
      <c r="I32" s="11"/>
      <c r="J32" s="4">
        <v>100</v>
      </c>
      <c r="K32" s="4">
        <v>0</v>
      </c>
      <c r="L32" s="4"/>
      <c r="M32" s="4">
        <f t="shared" si="1"/>
        <v>100</v>
      </c>
      <c r="N32" s="11"/>
      <c r="O32" s="4">
        <v>44</v>
      </c>
      <c r="P32" s="11"/>
      <c r="Q32" s="12">
        <f>100</f>
        <v>100</v>
      </c>
      <c r="R32" s="11"/>
      <c r="S32" s="12">
        <f t="shared" si="2"/>
        <v>65.35833333333332</v>
      </c>
    </row>
    <row r="33" spans="1:19" ht="12" customHeight="1" x14ac:dyDescent="0.25">
      <c r="A33" s="40" t="s">
        <v>42</v>
      </c>
      <c r="B33" s="10">
        <f>'Tareas-notas'!G33</f>
        <v>85</v>
      </c>
      <c r="C33" s="4">
        <v>0</v>
      </c>
      <c r="D33" s="4">
        <f>'Tareas-notas'!N33</f>
        <v>77.5</v>
      </c>
      <c r="E33" s="4">
        <f>'Tareas-notas'!U33</f>
        <v>85.5</v>
      </c>
      <c r="F33" s="4">
        <v>25</v>
      </c>
      <c r="G33" s="4">
        <v>60</v>
      </c>
      <c r="H33" s="4">
        <f t="shared" si="0"/>
        <v>55.5</v>
      </c>
      <c r="I33" s="11"/>
      <c r="J33" s="4">
        <v>70</v>
      </c>
      <c r="K33" s="4">
        <v>0</v>
      </c>
      <c r="L33" s="4"/>
      <c r="M33" s="4">
        <f t="shared" si="1"/>
        <v>70</v>
      </c>
      <c r="N33" s="11"/>
      <c r="O33" s="4">
        <v>3</v>
      </c>
      <c r="P33" s="11"/>
      <c r="Q33" s="12">
        <f>100</f>
        <v>100</v>
      </c>
      <c r="R33" s="11"/>
      <c r="S33" s="12">
        <f t="shared" si="2"/>
        <v>31.175000000000001</v>
      </c>
    </row>
    <row r="34" spans="1:19" ht="12" customHeight="1" x14ac:dyDescent="0.25">
      <c r="A34" s="40" t="s">
        <v>43</v>
      </c>
      <c r="B34" s="10">
        <f>'Tareas-notas'!G34</f>
        <v>81</v>
      </c>
      <c r="C34" s="4">
        <v>89</v>
      </c>
      <c r="D34" s="4">
        <f>'Tareas-notas'!N34</f>
        <v>81</v>
      </c>
      <c r="E34" s="4">
        <f>'Tareas-notas'!U34</f>
        <v>84</v>
      </c>
      <c r="F34" s="4">
        <v>100</v>
      </c>
      <c r="G34" s="4">
        <v>0</v>
      </c>
      <c r="H34" s="4">
        <f t="shared" si="0"/>
        <v>72.5</v>
      </c>
      <c r="I34" s="11"/>
      <c r="J34" s="4">
        <v>70</v>
      </c>
      <c r="K34" s="4">
        <v>0</v>
      </c>
      <c r="L34" s="4"/>
      <c r="M34" s="4">
        <f t="shared" si="1"/>
        <v>70</v>
      </c>
      <c r="N34" s="11"/>
      <c r="O34" s="4">
        <v>37</v>
      </c>
      <c r="P34" s="11"/>
      <c r="Q34" s="12">
        <f>100</f>
        <v>100</v>
      </c>
      <c r="R34" s="11"/>
      <c r="S34" s="12">
        <f t="shared" si="2"/>
        <v>55.825000000000003</v>
      </c>
    </row>
    <row r="35" spans="1:19" ht="12" customHeight="1" x14ac:dyDescent="0.25">
      <c r="A35" s="40" t="s">
        <v>44</v>
      </c>
      <c r="B35" s="10">
        <f>'Tareas-notas'!G35</f>
        <v>0</v>
      </c>
      <c r="C35" s="4">
        <v>0</v>
      </c>
      <c r="D35" s="4">
        <f>'Tareas-notas'!N35</f>
        <v>0</v>
      </c>
      <c r="E35" s="4">
        <f>'Tareas-notas'!U35</f>
        <v>0</v>
      </c>
      <c r="F35" s="4">
        <v>0</v>
      </c>
      <c r="G35" s="4">
        <v>0</v>
      </c>
      <c r="H35" s="4">
        <f t="shared" si="0"/>
        <v>0</v>
      </c>
      <c r="I35" s="11"/>
      <c r="J35" s="4">
        <v>0</v>
      </c>
      <c r="K35" s="4">
        <v>90</v>
      </c>
      <c r="L35" s="4"/>
      <c r="M35" s="4">
        <f t="shared" si="1"/>
        <v>90</v>
      </c>
      <c r="N35" s="11"/>
      <c r="O35" s="4">
        <v>0</v>
      </c>
      <c r="P35" s="11"/>
      <c r="Q35" s="12">
        <f>100</f>
        <v>100</v>
      </c>
      <c r="R35" s="11"/>
      <c r="S35" s="12">
        <f t="shared" si="2"/>
        <v>18.5</v>
      </c>
    </row>
    <row r="36" spans="1:19" ht="12" customHeight="1" x14ac:dyDescent="0.25">
      <c r="A36" s="40" t="s">
        <v>54</v>
      </c>
      <c r="B36" s="10">
        <f>'Tareas-notas'!G36</f>
        <v>75.5</v>
      </c>
      <c r="C36" s="4">
        <v>0</v>
      </c>
      <c r="D36" s="4">
        <f>'Tareas-notas'!N36</f>
        <v>24</v>
      </c>
      <c r="E36" s="4">
        <f>'Tareas-notas'!U36</f>
        <v>63</v>
      </c>
      <c r="F36" s="4">
        <v>25</v>
      </c>
      <c r="G36" s="4">
        <v>75</v>
      </c>
      <c r="H36" s="4">
        <f t="shared" si="0"/>
        <v>43.75</v>
      </c>
      <c r="I36" s="11"/>
      <c r="J36" s="4">
        <v>0</v>
      </c>
      <c r="K36" s="4">
        <v>0</v>
      </c>
      <c r="L36" s="4"/>
      <c r="M36" s="4">
        <f t="shared" si="1"/>
        <v>0</v>
      </c>
      <c r="N36" s="11"/>
      <c r="O36" s="4">
        <v>45</v>
      </c>
      <c r="P36" s="11"/>
      <c r="Q36" s="12">
        <f>100</f>
        <v>100</v>
      </c>
      <c r="R36" s="11"/>
      <c r="S36" s="12">
        <f t="shared" si="2"/>
        <v>42.9375</v>
      </c>
    </row>
    <row r="37" spans="1:19" ht="12" customHeight="1" x14ac:dyDescent="0.25">
      <c r="A37" s="40" t="s">
        <v>58</v>
      </c>
      <c r="B37" s="10">
        <f>'Tareas-notas'!G37</f>
        <v>0</v>
      </c>
      <c r="C37" s="4">
        <v>0</v>
      </c>
      <c r="D37" s="4">
        <f>'Tareas-notas'!N37</f>
        <v>0</v>
      </c>
      <c r="E37" s="4">
        <f>'Tareas-notas'!U37</f>
        <v>0</v>
      </c>
      <c r="F37" s="4">
        <v>0</v>
      </c>
      <c r="G37" s="4">
        <v>0</v>
      </c>
      <c r="H37" s="4">
        <f t="shared" si="0"/>
        <v>0</v>
      </c>
      <c r="I37" s="11"/>
      <c r="J37" s="4">
        <v>0</v>
      </c>
      <c r="K37" s="4">
        <v>0</v>
      </c>
      <c r="L37" s="4"/>
      <c r="M37" s="4">
        <f t="shared" si="1"/>
        <v>0</v>
      </c>
      <c r="N37" s="11"/>
      <c r="O37" s="4">
        <v>10</v>
      </c>
      <c r="P37" s="11"/>
      <c r="Q37" s="12">
        <f>100</f>
        <v>100</v>
      </c>
      <c r="R37" s="11"/>
      <c r="S37" s="12">
        <f t="shared" si="2"/>
        <v>11</v>
      </c>
    </row>
    <row r="38" spans="1:19" ht="12" customHeight="1" x14ac:dyDescent="0.25">
      <c r="A38" s="40" t="s">
        <v>61</v>
      </c>
      <c r="B38" s="10">
        <f>'Tareas-notas'!G38</f>
        <v>79</v>
      </c>
      <c r="C38" s="4">
        <v>0</v>
      </c>
      <c r="D38" s="4">
        <f>'Tareas-notas'!N38</f>
        <v>67</v>
      </c>
      <c r="E38" s="4">
        <f>'Tareas-notas'!U38</f>
        <v>57</v>
      </c>
      <c r="F38" s="4">
        <v>0</v>
      </c>
      <c r="G38" s="4">
        <v>80</v>
      </c>
      <c r="H38" s="4">
        <f t="shared" si="0"/>
        <v>47.166666666666664</v>
      </c>
      <c r="I38" s="11"/>
      <c r="J38" s="4">
        <v>0</v>
      </c>
      <c r="K38" s="4">
        <v>0</v>
      </c>
      <c r="L38" s="4"/>
      <c r="M38" s="4">
        <f t="shared" si="1"/>
        <v>0</v>
      </c>
      <c r="N38" s="11"/>
      <c r="O38" s="4">
        <v>23</v>
      </c>
      <c r="P38" s="11"/>
      <c r="Q38" s="12">
        <f>100</f>
        <v>100</v>
      </c>
      <c r="R38" s="11"/>
      <c r="S38" s="12">
        <f t="shared" si="2"/>
        <v>30.591666666666665</v>
      </c>
    </row>
    <row r="39" spans="1:19" ht="12" customHeight="1" x14ac:dyDescent="0.25">
      <c r="A39" s="40" t="s">
        <v>62</v>
      </c>
      <c r="B39" s="10">
        <f>'Tareas-notas'!G39</f>
        <v>0</v>
      </c>
      <c r="C39" s="4">
        <v>0</v>
      </c>
      <c r="D39" s="4">
        <f>'Tareas-notas'!N39</f>
        <v>0</v>
      </c>
      <c r="E39" s="4">
        <f>'Tareas-notas'!U39</f>
        <v>0</v>
      </c>
      <c r="F39" s="4">
        <v>0</v>
      </c>
      <c r="G39" s="4">
        <v>0</v>
      </c>
      <c r="H39" s="4">
        <f t="shared" si="0"/>
        <v>0</v>
      </c>
      <c r="I39" s="11"/>
      <c r="J39" s="4">
        <v>100</v>
      </c>
      <c r="K39" s="4">
        <v>0</v>
      </c>
      <c r="L39" s="4"/>
      <c r="M39" s="4">
        <f t="shared" si="1"/>
        <v>100</v>
      </c>
      <c r="N39" s="11"/>
      <c r="O39" s="4">
        <v>32</v>
      </c>
      <c r="P39" s="11"/>
      <c r="Q39" s="12">
        <f>100</f>
        <v>100</v>
      </c>
      <c r="R39" s="11"/>
      <c r="S39" s="12">
        <f t="shared" si="2"/>
        <v>39.200000000000003</v>
      </c>
    </row>
    <row r="40" spans="1:19" ht="12" customHeight="1" x14ac:dyDescent="0.25">
      <c r="A40" s="40" t="s">
        <v>66</v>
      </c>
      <c r="B40" s="10">
        <f>'Tareas-notas'!G40</f>
        <v>0</v>
      </c>
      <c r="C40" s="4">
        <v>0</v>
      </c>
      <c r="D40" s="4">
        <f>'Tareas-notas'!N40</f>
        <v>0</v>
      </c>
      <c r="E40" s="4">
        <f>'Tareas-notas'!U40</f>
        <v>0</v>
      </c>
      <c r="F40" s="4">
        <v>0</v>
      </c>
      <c r="G40" s="4">
        <v>0</v>
      </c>
      <c r="H40" s="4">
        <f t="shared" si="0"/>
        <v>0</v>
      </c>
      <c r="I40" s="11"/>
      <c r="J40" s="4">
        <v>0</v>
      </c>
      <c r="K40" s="4">
        <v>0</v>
      </c>
      <c r="L40" s="4"/>
      <c r="M40" s="4">
        <f t="shared" si="1"/>
        <v>0</v>
      </c>
      <c r="N40" s="11"/>
      <c r="O40" s="4">
        <v>0</v>
      </c>
      <c r="P40" s="11"/>
      <c r="Q40" s="12">
        <f>100</f>
        <v>100</v>
      </c>
      <c r="R40" s="11"/>
      <c r="S40" s="12">
        <f t="shared" ref="S40" si="3">IF(SUM(H40*0.25,M40*0.15,O40*0.6,Q40*0.05)&gt;=100,100,SUM(H40*0.25,M40*0.15,O40*0.6,Q40*0.05))</f>
        <v>5</v>
      </c>
    </row>
    <row r="41" spans="1:19" x14ac:dyDescent="0.25">
      <c r="E41" s="22"/>
    </row>
  </sheetData>
  <mergeCells count="2">
    <mergeCell ref="B1:F1"/>
    <mergeCell ref="J1:L1"/>
  </mergeCell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V41"/>
  <sheetViews>
    <sheetView workbookViewId="0">
      <selection activeCell="R10" sqref="R10"/>
    </sheetView>
  </sheetViews>
  <sheetFormatPr baseColWidth="10" defaultRowHeight="15" x14ac:dyDescent="0.25"/>
  <cols>
    <col min="1" max="1" width="30.42578125" customWidth="1"/>
    <col min="2" max="7" width="4.28515625" customWidth="1"/>
    <col min="8" max="8" width="1.7109375" customWidth="1"/>
    <col min="9" max="12" width="5.7109375" customWidth="1"/>
    <col min="13" max="13" width="1.7109375" customWidth="1"/>
    <col min="14" max="14" width="14.28515625" customWidth="1"/>
    <col min="15" max="15" width="2.140625" customWidth="1"/>
    <col min="16" max="16" width="11.5703125" customWidth="1"/>
    <col min="17" max="17" width="1.7109375" customWidth="1"/>
    <col min="18" max="18" width="12" customWidth="1"/>
    <col min="19" max="19" width="1.7109375" customWidth="1"/>
    <col min="21" max="21" width="1.7109375" customWidth="1"/>
    <col min="22" max="22" width="14" customWidth="1"/>
  </cols>
  <sheetData>
    <row r="1" spans="1:22" x14ac:dyDescent="0.25">
      <c r="A1" s="1"/>
      <c r="B1" s="77" t="s">
        <v>64</v>
      </c>
      <c r="C1" s="77"/>
      <c r="D1" s="77"/>
      <c r="E1" s="77"/>
      <c r="F1" s="77"/>
      <c r="G1" s="77"/>
      <c r="H1" s="21"/>
      <c r="I1" s="76" t="s">
        <v>34</v>
      </c>
      <c r="J1" s="76"/>
      <c r="K1" s="76"/>
      <c r="L1" s="46"/>
      <c r="M1" s="51"/>
      <c r="N1" s="56" t="s">
        <v>70</v>
      </c>
      <c r="O1" s="57"/>
      <c r="P1" s="56" t="s">
        <v>68</v>
      </c>
      <c r="Q1" s="58"/>
      <c r="R1" s="56" t="s">
        <v>35</v>
      </c>
      <c r="S1" s="58"/>
      <c r="T1" s="56" t="s">
        <v>36</v>
      </c>
      <c r="U1" s="58"/>
      <c r="V1" s="56" t="s">
        <v>37</v>
      </c>
    </row>
    <row r="2" spans="1:22" x14ac:dyDescent="0.25">
      <c r="A2" s="13" t="s">
        <v>28</v>
      </c>
      <c r="B2" s="52" t="s">
        <v>46</v>
      </c>
      <c r="C2" s="52" t="s">
        <v>47</v>
      </c>
      <c r="D2" s="52" t="s">
        <v>48</v>
      </c>
      <c r="E2" s="52" t="s">
        <v>49</v>
      </c>
      <c r="F2" s="52" t="s">
        <v>50</v>
      </c>
      <c r="G2" s="53" t="s">
        <v>53</v>
      </c>
      <c r="H2" s="15"/>
      <c r="I2" s="47" t="s">
        <v>31</v>
      </c>
      <c r="J2" s="47" t="s">
        <v>32</v>
      </c>
      <c r="K2" s="47" t="s">
        <v>33</v>
      </c>
      <c r="L2" s="47" t="s">
        <v>39</v>
      </c>
      <c r="M2" s="50"/>
      <c r="N2" s="47"/>
      <c r="O2" s="50"/>
      <c r="P2" s="47"/>
      <c r="Q2" s="17"/>
      <c r="R2" s="25"/>
      <c r="S2" s="17"/>
      <c r="T2" s="25"/>
      <c r="U2" s="17"/>
      <c r="V2" s="55"/>
    </row>
    <row r="3" spans="1:22" ht="12" customHeight="1" x14ac:dyDescent="0.25">
      <c r="A3" s="40" t="s">
        <v>0</v>
      </c>
      <c r="B3" s="4">
        <v>90</v>
      </c>
      <c r="C3" s="4">
        <v>90</v>
      </c>
      <c r="D3" s="4">
        <v>90</v>
      </c>
      <c r="E3" s="4">
        <v>90</v>
      </c>
      <c r="F3" s="4">
        <v>90</v>
      </c>
      <c r="G3" s="4">
        <f>SUM(B3*0.1,C3*0.1,D3*0.6,E3*0.1,F3*0.1)</f>
        <v>90</v>
      </c>
      <c r="H3" s="11"/>
      <c r="I3" s="4">
        <v>50</v>
      </c>
      <c r="J3" s="4">
        <v>0</v>
      </c>
      <c r="K3" s="4">
        <v>100</v>
      </c>
      <c r="L3" s="4">
        <f>AVERAGE(I3:K3)</f>
        <v>50</v>
      </c>
      <c r="M3" s="54"/>
      <c r="N3" s="4">
        <v>70</v>
      </c>
      <c r="O3" s="54"/>
      <c r="P3" s="68">
        <v>85</v>
      </c>
      <c r="Q3" s="11"/>
      <c r="R3" s="4">
        <v>70</v>
      </c>
      <c r="S3" s="11"/>
      <c r="T3" s="12">
        <f>100</f>
        <v>100</v>
      </c>
      <c r="U3" s="11"/>
      <c r="V3" s="12">
        <f>IF(SUM(G3*0.1,L3*0.15,N3*0.1,P3*0.15,R3*0.5)&gt;=100,100,SUM(G3*0.1,L3*0.15,N3*0.1,P3*0.15,R3*0.5))</f>
        <v>71.25</v>
      </c>
    </row>
    <row r="4" spans="1:22" ht="12" customHeight="1" x14ac:dyDescent="0.25">
      <c r="A4" s="40" t="s">
        <v>1</v>
      </c>
      <c r="B4" s="4">
        <v>90</v>
      </c>
      <c r="C4" s="4">
        <v>90</v>
      </c>
      <c r="D4" s="4">
        <v>90</v>
      </c>
      <c r="E4" s="4">
        <v>90</v>
      </c>
      <c r="F4" s="4">
        <v>90</v>
      </c>
      <c r="G4" s="4">
        <f t="shared" ref="G4:G40" si="0">SUM(B4*0.1,C4*0.1,D4*0.6,E4*0.1,F4*0.1)</f>
        <v>90</v>
      </c>
      <c r="H4" s="11"/>
      <c r="I4" s="4">
        <v>100</v>
      </c>
      <c r="J4" s="4">
        <v>100</v>
      </c>
      <c r="K4" s="4">
        <v>100</v>
      </c>
      <c r="L4" s="4">
        <f t="shared" ref="L4:L40" si="1">AVERAGE(I4:K4)</f>
        <v>100</v>
      </c>
      <c r="M4" s="54"/>
      <c r="N4" s="4">
        <v>75</v>
      </c>
      <c r="O4" s="54"/>
      <c r="P4" s="68">
        <v>85</v>
      </c>
      <c r="Q4" s="11"/>
      <c r="R4" s="4">
        <v>40</v>
      </c>
      <c r="S4" s="11"/>
      <c r="T4" s="12">
        <f>100</f>
        <v>100</v>
      </c>
      <c r="U4" s="11"/>
      <c r="V4" s="12">
        <f t="shared" ref="V4:V40" si="2">IF(SUM(G4*0.1,L4*0.15,N4*0.1,P4*0.15,R4*0.5)&gt;=100,100,SUM(G4*0.1,L4*0.15,N4*0.1,P4*0.15,R4*0.5))</f>
        <v>64.25</v>
      </c>
    </row>
    <row r="5" spans="1:22" ht="12" customHeight="1" x14ac:dyDescent="0.25">
      <c r="A5" s="40" t="s">
        <v>2</v>
      </c>
      <c r="B5" s="4">
        <v>90</v>
      </c>
      <c r="C5" s="4">
        <v>95</v>
      </c>
      <c r="D5" s="4">
        <v>90</v>
      </c>
      <c r="E5" s="4">
        <v>90</v>
      </c>
      <c r="F5" s="4">
        <v>0</v>
      </c>
      <c r="G5" s="4">
        <f t="shared" si="0"/>
        <v>81.5</v>
      </c>
      <c r="H5" s="11"/>
      <c r="I5" s="4">
        <v>100</v>
      </c>
      <c r="J5" s="4">
        <v>100</v>
      </c>
      <c r="K5" s="4">
        <v>100</v>
      </c>
      <c r="L5" s="4">
        <f t="shared" si="1"/>
        <v>100</v>
      </c>
      <c r="M5" s="54"/>
      <c r="N5" s="4">
        <v>65</v>
      </c>
      <c r="O5" s="54"/>
      <c r="P5" s="68">
        <v>85</v>
      </c>
      <c r="Q5" s="11"/>
      <c r="R5" s="4">
        <v>50</v>
      </c>
      <c r="S5" s="11"/>
      <c r="T5" s="12">
        <f>100</f>
        <v>100</v>
      </c>
      <c r="U5" s="11"/>
      <c r="V5" s="12">
        <f t="shared" si="2"/>
        <v>67.400000000000006</v>
      </c>
    </row>
    <row r="6" spans="1:22" ht="12" customHeight="1" x14ac:dyDescent="0.25">
      <c r="A6" s="40" t="s">
        <v>59</v>
      </c>
      <c r="B6" s="4">
        <v>0</v>
      </c>
      <c r="C6" s="4">
        <v>0</v>
      </c>
      <c r="D6" s="4">
        <v>0</v>
      </c>
      <c r="E6" s="4">
        <v>0</v>
      </c>
      <c r="F6" s="4">
        <v>0</v>
      </c>
      <c r="G6" s="4">
        <f t="shared" si="0"/>
        <v>0</v>
      </c>
      <c r="H6" s="11"/>
      <c r="I6" s="4">
        <v>100</v>
      </c>
      <c r="J6" s="4">
        <v>70</v>
      </c>
      <c r="K6" s="4">
        <v>0</v>
      </c>
      <c r="L6" s="4">
        <f t="shared" si="1"/>
        <v>56.666666666666664</v>
      </c>
      <c r="M6" s="54"/>
      <c r="N6" s="4">
        <v>85</v>
      </c>
      <c r="O6" s="54"/>
      <c r="P6" s="4">
        <v>0</v>
      </c>
      <c r="Q6" s="11"/>
      <c r="R6" s="4">
        <v>25</v>
      </c>
      <c r="S6" s="11"/>
      <c r="T6" s="12">
        <f>100</f>
        <v>100</v>
      </c>
      <c r="U6" s="11"/>
      <c r="V6" s="12">
        <f t="shared" si="2"/>
        <v>29.5</v>
      </c>
    </row>
    <row r="7" spans="1:22" ht="12" customHeight="1" x14ac:dyDescent="0.25">
      <c r="A7" s="40" t="s">
        <v>3</v>
      </c>
      <c r="B7" s="4">
        <v>85</v>
      </c>
      <c r="C7" s="4">
        <v>90</v>
      </c>
      <c r="D7" s="4">
        <v>90</v>
      </c>
      <c r="E7" s="4">
        <v>90</v>
      </c>
      <c r="F7" s="4">
        <v>0</v>
      </c>
      <c r="G7" s="4">
        <f t="shared" si="0"/>
        <v>80.5</v>
      </c>
      <c r="H7" s="11"/>
      <c r="I7" s="4">
        <v>100</v>
      </c>
      <c r="J7" s="4">
        <v>100</v>
      </c>
      <c r="K7" s="4">
        <v>0</v>
      </c>
      <c r="L7" s="4">
        <f t="shared" si="1"/>
        <v>66.666666666666671</v>
      </c>
      <c r="M7" s="54"/>
      <c r="N7" s="4">
        <v>80</v>
      </c>
      <c r="O7" s="54"/>
      <c r="P7" s="69">
        <v>75</v>
      </c>
      <c r="Q7" s="11"/>
      <c r="R7" s="4">
        <v>40</v>
      </c>
      <c r="S7" s="11"/>
      <c r="T7" s="12">
        <f>100</f>
        <v>100</v>
      </c>
      <c r="U7" s="11"/>
      <c r="V7" s="12">
        <f t="shared" si="2"/>
        <v>57.3</v>
      </c>
    </row>
    <row r="8" spans="1:22" ht="12" customHeight="1" x14ac:dyDescent="0.25">
      <c r="A8" s="40" t="s">
        <v>4</v>
      </c>
      <c r="B8" s="4">
        <v>85</v>
      </c>
      <c r="C8" s="4">
        <v>85</v>
      </c>
      <c r="D8" s="4">
        <v>85</v>
      </c>
      <c r="E8" s="4">
        <v>90</v>
      </c>
      <c r="F8" s="4">
        <v>90</v>
      </c>
      <c r="G8" s="4">
        <f t="shared" si="0"/>
        <v>86</v>
      </c>
      <c r="H8" s="11"/>
      <c r="I8" s="4">
        <v>0</v>
      </c>
      <c r="J8" s="4">
        <v>100</v>
      </c>
      <c r="K8" s="4">
        <v>0</v>
      </c>
      <c r="L8" s="4">
        <f t="shared" si="1"/>
        <v>33.333333333333336</v>
      </c>
      <c r="M8" s="54"/>
      <c r="N8" s="4">
        <v>95</v>
      </c>
      <c r="O8" s="54"/>
      <c r="P8" s="69">
        <v>75</v>
      </c>
      <c r="Q8" s="11"/>
      <c r="R8" s="4">
        <v>40</v>
      </c>
      <c r="S8" s="11"/>
      <c r="T8" s="12">
        <f>100</f>
        <v>100</v>
      </c>
      <c r="U8" s="11"/>
      <c r="V8" s="12">
        <f t="shared" si="2"/>
        <v>54.35</v>
      </c>
    </row>
    <row r="9" spans="1:22" ht="12" customHeight="1" x14ac:dyDescent="0.25">
      <c r="A9" s="40" t="s">
        <v>5</v>
      </c>
      <c r="B9" s="4">
        <v>90</v>
      </c>
      <c r="C9" s="4">
        <v>90</v>
      </c>
      <c r="D9" s="4">
        <v>90</v>
      </c>
      <c r="E9" s="4">
        <v>90</v>
      </c>
      <c r="F9" s="4">
        <v>0</v>
      </c>
      <c r="G9" s="4">
        <f t="shared" si="0"/>
        <v>81</v>
      </c>
      <c r="H9" s="11"/>
      <c r="I9" s="4">
        <v>100</v>
      </c>
      <c r="J9" s="4">
        <v>100</v>
      </c>
      <c r="K9" s="4">
        <v>0</v>
      </c>
      <c r="L9" s="4">
        <f t="shared" si="1"/>
        <v>66.666666666666671</v>
      </c>
      <c r="M9" s="54"/>
      <c r="N9" s="4">
        <v>95</v>
      </c>
      <c r="O9" s="54"/>
      <c r="P9" s="69">
        <v>75</v>
      </c>
      <c r="Q9" s="11"/>
      <c r="R9" s="4">
        <v>85</v>
      </c>
      <c r="S9" s="11"/>
      <c r="T9" s="12">
        <f>100</f>
        <v>100</v>
      </c>
      <c r="U9" s="11"/>
      <c r="V9" s="12">
        <f t="shared" si="2"/>
        <v>81.349999999999994</v>
      </c>
    </row>
    <row r="10" spans="1:22" ht="12" customHeight="1" x14ac:dyDescent="0.25">
      <c r="A10" s="40" t="s">
        <v>6</v>
      </c>
      <c r="B10" s="4">
        <v>95</v>
      </c>
      <c r="C10" s="4">
        <v>95</v>
      </c>
      <c r="D10" s="4">
        <v>95</v>
      </c>
      <c r="E10" s="4">
        <v>90</v>
      </c>
      <c r="F10" s="4">
        <v>0</v>
      </c>
      <c r="G10" s="4">
        <f t="shared" si="0"/>
        <v>85</v>
      </c>
      <c r="H10" s="11"/>
      <c r="I10" s="4">
        <v>100</v>
      </c>
      <c r="J10" s="4">
        <v>0</v>
      </c>
      <c r="K10" s="4">
        <v>0</v>
      </c>
      <c r="L10" s="4">
        <f t="shared" si="1"/>
        <v>33.333333333333336</v>
      </c>
      <c r="M10" s="54"/>
      <c r="N10" s="4">
        <v>75</v>
      </c>
      <c r="O10" s="54"/>
      <c r="P10" s="70">
        <v>90</v>
      </c>
      <c r="Q10" s="11"/>
      <c r="R10" s="4">
        <v>70</v>
      </c>
      <c r="S10" s="11"/>
      <c r="T10" s="12">
        <f>100</f>
        <v>100</v>
      </c>
      <c r="U10" s="11"/>
      <c r="V10" s="12">
        <f t="shared" si="2"/>
        <v>69.5</v>
      </c>
    </row>
    <row r="11" spans="1:22" ht="12" customHeight="1" x14ac:dyDescent="0.25">
      <c r="A11" s="40" t="s">
        <v>8</v>
      </c>
      <c r="B11" s="4">
        <v>85</v>
      </c>
      <c r="C11" s="4">
        <v>90</v>
      </c>
      <c r="D11" s="4">
        <v>95</v>
      </c>
      <c r="E11" s="4">
        <v>90</v>
      </c>
      <c r="F11" s="4">
        <v>90</v>
      </c>
      <c r="G11" s="4">
        <f t="shared" si="0"/>
        <v>92.5</v>
      </c>
      <c r="H11" s="11"/>
      <c r="I11" s="4">
        <v>100</v>
      </c>
      <c r="J11" s="4">
        <v>100</v>
      </c>
      <c r="K11" s="4">
        <v>0</v>
      </c>
      <c r="L11" s="4">
        <f t="shared" si="1"/>
        <v>66.666666666666671</v>
      </c>
      <c r="M11" s="54"/>
      <c r="N11" s="4">
        <v>95</v>
      </c>
      <c r="O11" s="54"/>
      <c r="P11" s="68">
        <v>85</v>
      </c>
      <c r="Q11" s="11"/>
      <c r="R11" s="4">
        <v>55</v>
      </c>
      <c r="S11" s="11"/>
      <c r="T11" s="12">
        <f>100</f>
        <v>100</v>
      </c>
      <c r="U11" s="11"/>
      <c r="V11" s="12">
        <f t="shared" si="2"/>
        <v>69</v>
      </c>
    </row>
    <row r="12" spans="1:22" ht="12" customHeight="1" x14ac:dyDescent="0.25">
      <c r="A12" s="40" t="s">
        <v>9</v>
      </c>
      <c r="B12" s="4">
        <v>85</v>
      </c>
      <c r="C12" s="4">
        <v>85</v>
      </c>
      <c r="D12" s="4">
        <v>90</v>
      </c>
      <c r="E12" s="4">
        <v>90</v>
      </c>
      <c r="F12" s="4">
        <v>90</v>
      </c>
      <c r="G12" s="4">
        <f t="shared" si="0"/>
        <v>89</v>
      </c>
      <c r="H12" s="11"/>
      <c r="I12" s="4">
        <v>50</v>
      </c>
      <c r="J12" s="4">
        <v>100</v>
      </c>
      <c r="K12" s="4">
        <v>0</v>
      </c>
      <c r="L12" s="4">
        <f t="shared" si="1"/>
        <v>50</v>
      </c>
      <c r="M12" s="54"/>
      <c r="N12" s="4">
        <v>85</v>
      </c>
      <c r="O12" s="54"/>
      <c r="P12" s="4">
        <v>87</v>
      </c>
      <c r="Q12" s="11"/>
      <c r="R12" s="4">
        <v>40</v>
      </c>
      <c r="S12" s="11"/>
      <c r="T12" s="12">
        <f>100</f>
        <v>100</v>
      </c>
      <c r="U12" s="11"/>
      <c r="V12" s="12">
        <f t="shared" si="2"/>
        <v>57.949999999999996</v>
      </c>
    </row>
    <row r="13" spans="1:22" ht="12" customHeight="1" x14ac:dyDescent="0.25">
      <c r="A13" s="40" t="s">
        <v>10</v>
      </c>
      <c r="B13" s="4">
        <v>85</v>
      </c>
      <c r="C13" s="4">
        <v>90</v>
      </c>
      <c r="D13" s="4">
        <v>85</v>
      </c>
      <c r="E13" s="4">
        <v>90</v>
      </c>
      <c r="F13" s="4">
        <v>0</v>
      </c>
      <c r="G13" s="4">
        <f t="shared" si="0"/>
        <v>77.5</v>
      </c>
      <c r="H13" s="11"/>
      <c r="I13" s="4">
        <v>50</v>
      </c>
      <c r="J13" s="4">
        <v>0</v>
      </c>
      <c r="K13" s="4">
        <v>0</v>
      </c>
      <c r="L13" s="4">
        <f t="shared" si="1"/>
        <v>16.666666666666668</v>
      </c>
      <c r="M13" s="54"/>
      <c r="N13" s="4">
        <v>95</v>
      </c>
      <c r="O13" s="54"/>
      <c r="P13" s="71">
        <v>90</v>
      </c>
      <c r="Q13" s="11"/>
      <c r="R13" s="4">
        <v>40</v>
      </c>
      <c r="S13" s="11"/>
      <c r="T13" s="12">
        <f>100</f>
        <v>100</v>
      </c>
      <c r="U13" s="11"/>
      <c r="V13" s="12">
        <f t="shared" si="2"/>
        <v>53.25</v>
      </c>
    </row>
    <row r="14" spans="1:22" ht="12" customHeight="1" x14ac:dyDescent="0.25">
      <c r="A14" s="40" t="s">
        <v>11</v>
      </c>
      <c r="B14" s="4">
        <v>85</v>
      </c>
      <c r="C14" s="4">
        <v>85</v>
      </c>
      <c r="D14" s="4">
        <v>85</v>
      </c>
      <c r="E14" s="4">
        <v>90</v>
      </c>
      <c r="F14" s="4">
        <v>0</v>
      </c>
      <c r="G14" s="4">
        <f t="shared" si="0"/>
        <v>77</v>
      </c>
      <c r="H14" s="11"/>
      <c r="I14" s="4">
        <v>100</v>
      </c>
      <c r="J14" s="4">
        <v>0</v>
      </c>
      <c r="K14" s="4">
        <v>70</v>
      </c>
      <c r="L14" s="4">
        <f t="shared" si="1"/>
        <v>56.666666666666664</v>
      </c>
      <c r="M14" s="54"/>
      <c r="N14" s="4">
        <v>40</v>
      </c>
      <c r="O14" s="54"/>
      <c r="P14" s="69">
        <v>75</v>
      </c>
      <c r="Q14" s="11"/>
      <c r="R14" s="4">
        <v>50</v>
      </c>
      <c r="S14" s="11"/>
      <c r="T14" s="12">
        <f>100</f>
        <v>100</v>
      </c>
      <c r="U14" s="11"/>
      <c r="V14" s="12">
        <f t="shared" si="2"/>
        <v>56.45</v>
      </c>
    </row>
    <row r="15" spans="1:22" ht="12" customHeight="1" x14ac:dyDescent="0.25">
      <c r="A15" s="40" t="s">
        <v>12</v>
      </c>
      <c r="B15" s="4">
        <v>90</v>
      </c>
      <c r="C15" s="4">
        <v>95</v>
      </c>
      <c r="D15" s="4">
        <v>95</v>
      </c>
      <c r="E15" s="4">
        <v>90</v>
      </c>
      <c r="F15" s="4">
        <v>90</v>
      </c>
      <c r="G15" s="4">
        <f t="shared" si="0"/>
        <v>93.5</v>
      </c>
      <c r="H15" s="11"/>
      <c r="I15" s="4">
        <v>100</v>
      </c>
      <c r="J15" s="4">
        <v>100</v>
      </c>
      <c r="K15" s="4">
        <v>100</v>
      </c>
      <c r="L15" s="4">
        <f t="shared" si="1"/>
        <v>100</v>
      </c>
      <c r="M15" s="54"/>
      <c r="N15" s="4">
        <v>100</v>
      </c>
      <c r="O15" s="54"/>
      <c r="P15" s="72">
        <v>75</v>
      </c>
      <c r="Q15" s="11"/>
      <c r="R15" s="4">
        <v>70</v>
      </c>
      <c r="S15" s="11"/>
      <c r="T15" s="12">
        <f>100</f>
        <v>100</v>
      </c>
      <c r="U15" s="11"/>
      <c r="V15" s="12">
        <f t="shared" si="2"/>
        <v>80.599999999999994</v>
      </c>
    </row>
    <row r="16" spans="1:22" ht="12" customHeight="1" x14ac:dyDescent="0.25">
      <c r="A16" s="40" t="s">
        <v>13</v>
      </c>
      <c r="B16" s="4">
        <v>90</v>
      </c>
      <c r="C16" s="4">
        <v>90</v>
      </c>
      <c r="D16" s="4">
        <v>80</v>
      </c>
      <c r="E16" s="4">
        <v>90</v>
      </c>
      <c r="F16" s="4">
        <v>90</v>
      </c>
      <c r="G16" s="4">
        <f t="shared" si="0"/>
        <v>84</v>
      </c>
      <c r="H16" s="11"/>
      <c r="I16" s="4">
        <v>100</v>
      </c>
      <c r="J16" s="4">
        <v>100</v>
      </c>
      <c r="K16" s="4">
        <v>100</v>
      </c>
      <c r="L16" s="4">
        <f t="shared" si="1"/>
        <v>100</v>
      </c>
      <c r="M16" s="54"/>
      <c r="N16" s="4">
        <v>90</v>
      </c>
      <c r="O16" s="54"/>
      <c r="P16" s="70">
        <v>90</v>
      </c>
      <c r="Q16" s="11"/>
      <c r="R16" s="4">
        <v>40</v>
      </c>
      <c r="S16" s="11"/>
      <c r="T16" s="12">
        <f>100</f>
        <v>100</v>
      </c>
      <c r="U16" s="11"/>
      <c r="V16" s="12">
        <f t="shared" si="2"/>
        <v>65.900000000000006</v>
      </c>
    </row>
    <row r="17" spans="1:22" ht="12" customHeight="1" x14ac:dyDescent="0.25">
      <c r="A17" s="40" t="s">
        <v>14</v>
      </c>
      <c r="B17" s="4">
        <v>90</v>
      </c>
      <c r="C17" s="4">
        <v>90</v>
      </c>
      <c r="D17" s="4">
        <v>90</v>
      </c>
      <c r="E17" s="4">
        <v>90</v>
      </c>
      <c r="F17" s="4">
        <v>90</v>
      </c>
      <c r="G17" s="4">
        <f t="shared" si="0"/>
        <v>90</v>
      </c>
      <c r="H17" s="11"/>
      <c r="I17" s="4">
        <v>50</v>
      </c>
      <c r="J17" s="4">
        <v>0</v>
      </c>
      <c r="K17" s="4">
        <v>0</v>
      </c>
      <c r="L17" s="4">
        <f t="shared" si="1"/>
        <v>16.666666666666668</v>
      </c>
      <c r="M17" s="54"/>
      <c r="N17" s="4">
        <v>30</v>
      </c>
      <c r="O17" s="54"/>
      <c r="P17" s="71">
        <v>90</v>
      </c>
      <c r="Q17" s="11"/>
      <c r="R17" s="4">
        <v>40</v>
      </c>
      <c r="S17" s="11"/>
      <c r="T17" s="12">
        <f>100</f>
        <v>100</v>
      </c>
      <c r="U17" s="11"/>
      <c r="V17" s="12">
        <f t="shared" si="2"/>
        <v>48</v>
      </c>
    </row>
    <row r="18" spans="1:22" ht="12" customHeight="1" x14ac:dyDescent="0.25">
      <c r="A18" s="40" t="s">
        <v>15</v>
      </c>
      <c r="B18" s="4">
        <v>0</v>
      </c>
      <c r="C18" s="4">
        <v>0</v>
      </c>
      <c r="D18" s="4">
        <v>0</v>
      </c>
      <c r="E18" s="4">
        <v>0</v>
      </c>
      <c r="F18" s="4">
        <v>0</v>
      </c>
      <c r="G18" s="4">
        <f t="shared" si="0"/>
        <v>0</v>
      </c>
      <c r="H18" s="11"/>
      <c r="I18" s="4">
        <v>100</v>
      </c>
      <c r="J18" s="4">
        <v>100</v>
      </c>
      <c r="K18" s="4">
        <v>0</v>
      </c>
      <c r="L18" s="4">
        <f t="shared" si="1"/>
        <v>66.666666666666671</v>
      </c>
      <c r="M18" s="54"/>
      <c r="N18" s="4">
        <v>0</v>
      </c>
      <c r="O18" s="54"/>
      <c r="P18" s="68">
        <v>85</v>
      </c>
      <c r="Q18" s="11"/>
      <c r="R18" s="4">
        <v>0</v>
      </c>
      <c r="S18" s="11"/>
      <c r="T18" s="12">
        <f>100</f>
        <v>100</v>
      </c>
      <c r="U18" s="11"/>
      <c r="V18" s="12">
        <f t="shared" si="2"/>
        <v>22.75</v>
      </c>
    </row>
    <row r="19" spans="1:22" ht="12" customHeight="1" x14ac:dyDescent="0.25">
      <c r="A19" s="40" t="s">
        <v>16</v>
      </c>
      <c r="B19" s="4">
        <v>95</v>
      </c>
      <c r="C19" s="4">
        <v>90</v>
      </c>
      <c r="D19" s="4">
        <v>90</v>
      </c>
      <c r="E19" s="4">
        <v>90</v>
      </c>
      <c r="F19" s="4">
        <v>0</v>
      </c>
      <c r="G19" s="4">
        <f t="shared" si="0"/>
        <v>81.5</v>
      </c>
      <c r="H19" s="11"/>
      <c r="I19" s="4">
        <v>100</v>
      </c>
      <c r="J19" s="4">
        <v>100</v>
      </c>
      <c r="K19" s="4">
        <v>100</v>
      </c>
      <c r="L19" s="4">
        <f t="shared" si="1"/>
        <v>100</v>
      </c>
      <c r="M19" s="54"/>
      <c r="N19" s="4">
        <v>80</v>
      </c>
      <c r="O19" s="54"/>
      <c r="P19" s="72">
        <v>75</v>
      </c>
      <c r="Q19" s="11"/>
      <c r="R19" s="4">
        <v>50</v>
      </c>
      <c r="S19" s="11"/>
      <c r="T19" s="12">
        <f>100</f>
        <v>100</v>
      </c>
      <c r="U19" s="11"/>
      <c r="V19" s="12">
        <f t="shared" si="2"/>
        <v>67.400000000000006</v>
      </c>
    </row>
    <row r="20" spans="1:22" ht="12" customHeight="1" x14ac:dyDescent="0.25">
      <c r="A20" s="40" t="s">
        <v>52</v>
      </c>
      <c r="B20" s="4">
        <v>90</v>
      </c>
      <c r="C20" s="4">
        <v>95</v>
      </c>
      <c r="D20" s="4">
        <v>95</v>
      </c>
      <c r="E20" s="4">
        <v>90</v>
      </c>
      <c r="F20" s="4">
        <v>95</v>
      </c>
      <c r="G20" s="4">
        <f t="shared" si="0"/>
        <v>94</v>
      </c>
      <c r="H20" s="11"/>
      <c r="I20" s="4">
        <v>100</v>
      </c>
      <c r="J20" s="4">
        <v>100</v>
      </c>
      <c r="K20" s="4">
        <v>0</v>
      </c>
      <c r="L20" s="4">
        <f t="shared" si="1"/>
        <v>66.666666666666671</v>
      </c>
      <c r="M20" s="54"/>
      <c r="N20" s="4">
        <v>80</v>
      </c>
      <c r="O20" s="54"/>
      <c r="P20" s="72">
        <v>75</v>
      </c>
      <c r="Q20" s="11"/>
      <c r="R20" s="4">
        <v>100</v>
      </c>
      <c r="S20" s="11"/>
      <c r="T20" s="12">
        <f>100</f>
        <v>100</v>
      </c>
      <c r="U20" s="11"/>
      <c r="V20" s="12">
        <f t="shared" si="2"/>
        <v>88.65</v>
      </c>
    </row>
    <row r="21" spans="1:22" ht="12" customHeight="1" x14ac:dyDescent="0.25">
      <c r="A21" s="40" t="s">
        <v>17</v>
      </c>
      <c r="B21" s="4">
        <v>90</v>
      </c>
      <c r="C21" s="4">
        <v>95</v>
      </c>
      <c r="D21" s="4">
        <v>95</v>
      </c>
      <c r="E21" s="4">
        <v>90</v>
      </c>
      <c r="F21" s="4">
        <v>90</v>
      </c>
      <c r="G21" s="4">
        <f t="shared" si="0"/>
        <v>93.5</v>
      </c>
      <c r="H21" s="11"/>
      <c r="I21" s="4">
        <v>100</v>
      </c>
      <c r="J21" s="4">
        <v>100</v>
      </c>
      <c r="K21" s="4">
        <v>0</v>
      </c>
      <c r="L21" s="4">
        <f t="shared" si="1"/>
        <v>66.666666666666671</v>
      </c>
      <c r="M21" s="54"/>
      <c r="N21" s="4">
        <v>95</v>
      </c>
      <c r="O21" s="54"/>
      <c r="P21" s="70">
        <v>90</v>
      </c>
      <c r="Q21" s="11"/>
      <c r="R21" s="4">
        <v>80</v>
      </c>
      <c r="S21" s="11"/>
      <c r="T21" s="12">
        <f>100</f>
        <v>100</v>
      </c>
      <c r="U21" s="11"/>
      <c r="V21" s="12">
        <f t="shared" si="2"/>
        <v>82.35</v>
      </c>
    </row>
    <row r="22" spans="1:22" ht="12" customHeight="1" x14ac:dyDescent="0.25">
      <c r="A22" s="40" t="s">
        <v>18</v>
      </c>
      <c r="B22" s="4">
        <v>90</v>
      </c>
      <c r="C22" s="4">
        <v>95</v>
      </c>
      <c r="D22" s="4">
        <v>95</v>
      </c>
      <c r="E22" s="4">
        <v>90</v>
      </c>
      <c r="F22" s="4">
        <v>90</v>
      </c>
      <c r="G22" s="4">
        <f t="shared" si="0"/>
        <v>93.5</v>
      </c>
      <c r="H22" s="11"/>
      <c r="I22" s="4">
        <v>100</v>
      </c>
      <c r="J22" s="4">
        <v>100</v>
      </c>
      <c r="K22" s="4">
        <v>0</v>
      </c>
      <c r="L22" s="4">
        <f t="shared" si="1"/>
        <v>66.666666666666671</v>
      </c>
      <c r="M22" s="54"/>
      <c r="N22" s="4">
        <v>100</v>
      </c>
      <c r="O22" s="54"/>
      <c r="P22" s="70">
        <v>90</v>
      </c>
      <c r="Q22" s="11"/>
      <c r="R22" s="4">
        <v>75</v>
      </c>
      <c r="S22" s="11"/>
      <c r="T22" s="12">
        <f>100</f>
        <v>100</v>
      </c>
      <c r="U22" s="11"/>
      <c r="V22" s="12">
        <f t="shared" si="2"/>
        <v>80.349999999999994</v>
      </c>
    </row>
    <row r="23" spans="1:22" ht="12" customHeight="1" x14ac:dyDescent="0.25">
      <c r="A23" s="40" t="s">
        <v>19</v>
      </c>
      <c r="B23" s="4">
        <v>90</v>
      </c>
      <c r="C23" s="4">
        <v>90</v>
      </c>
      <c r="D23" s="4">
        <v>90</v>
      </c>
      <c r="E23" s="4">
        <v>90</v>
      </c>
      <c r="F23" s="4">
        <v>90</v>
      </c>
      <c r="G23" s="4">
        <f t="shared" si="0"/>
        <v>90</v>
      </c>
      <c r="H23" s="11"/>
      <c r="I23" s="4">
        <v>100</v>
      </c>
      <c r="J23" s="4">
        <v>100</v>
      </c>
      <c r="K23" s="4">
        <v>0</v>
      </c>
      <c r="L23" s="4">
        <f t="shared" si="1"/>
        <v>66.666666666666671</v>
      </c>
      <c r="M23" s="54"/>
      <c r="N23" s="4">
        <v>95</v>
      </c>
      <c r="O23" s="54"/>
      <c r="P23" s="70">
        <v>90</v>
      </c>
      <c r="Q23" s="11"/>
      <c r="R23" s="4">
        <v>40</v>
      </c>
      <c r="S23" s="11"/>
      <c r="T23" s="12">
        <f>100</f>
        <v>100</v>
      </c>
      <c r="U23" s="11"/>
      <c r="V23" s="12">
        <f t="shared" si="2"/>
        <v>62</v>
      </c>
    </row>
    <row r="24" spans="1:22" ht="12" customHeight="1" x14ac:dyDescent="0.25">
      <c r="A24" s="40" t="s">
        <v>20</v>
      </c>
      <c r="B24" s="4">
        <v>90</v>
      </c>
      <c r="C24" s="4">
        <v>85</v>
      </c>
      <c r="D24" s="4">
        <v>85</v>
      </c>
      <c r="E24" s="4">
        <v>90</v>
      </c>
      <c r="F24" s="4">
        <v>90</v>
      </c>
      <c r="G24" s="4">
        <f t="shared" si="0"/>
        <v>86.5</v>
      </c>
      <c r="H24" s="11"/>
      <c r="I24" s="4">
        <v>100</v>
      </c>
      <c r="J24" s="4">
        <v>100</v>
      </c>
      <c r="K24" s="4">
        <v>100</v>
      </c>
      <c r="L24" s="4">
        <f t="shared" si="1"/>
        <v>100</v>
      </c>
      <c r="M24" s="54"/>
      <c r="N24" s="4">
        <v>80</v>
      </c>
      <c r="O24" s="54"/>
      <c r="P24" s="71">
        <v>90</v>
      </c>
      <c r="Q24" s="11"/>
      <c r="R24" s="4">
        <v>90</v>
      </c>
      <c r="S24" s="11"/>
      <c r="T24" s="12">
        <f>100</f>
        <v>100</v>
      </c>
      <c r="U24" s="11"/>
      <c r="V24" s="12">
        <f t="shared" si="2"/>
        <v>90.15</v>
      </c>
    </row>
    <row r="25" spans="1:22" ht="12" customHeight="1" x14ac:dyDescent="0.25">
      <c r="A25" s="40" t="s">
        <v>21</v>
      </c>
      <c r="B25" s="4">
        <v>90</v>
      </c>
      <c r="C25" s="4">
        <v>90</v>
      </c>
      <c r="D25" s="4">
        <v>90</v>
      </c>
      <c r="E25" s="4">
        <v>90</v>
      </c>
      <c r="F25" s="4">
        <v>90</v>
      </c>
      <c r="G25" s="4">
        <f t="shared" si="0"/>
        <v>90</v>
      </c>
      <c r="H25" s="11"/>
      <c r="I25" s="4">
        <v>100</v>
      </c>
      <c r="J25" s="4">
        <v>100</v>
      </c>
      <c r="K25" s="4">
        <v>100</v>
      </c>
      <c r="L25" s="4">
        <f t="shared" si="1"/>
        <v>100</v>
      </c>
      <c r="M25" s="54"/>
      <c r="N25" s="4">
        <v>75</v>
      </c>
      <c r="O25" s="54"/>
      <c r="P25" s="70">
        <v>90</v>
      </c>
      <c r="Q25" s="11"/>
      <c r="R25" s="4">
        <v>40</v>
      </c>
      <c r="S25" s="11"/>
      <c r="T25" s="12">
        <f>100</f>
        <v>100</v>
      </c>
      <c r="U25" s="11"/>
      <c r="V25" s="12">
        <f t="shared" si="2"/>
        <v>65</v>
      </c>
    </row>
    <row r="26" spans="1:22" ht="12" customHeight="1" x14ac:dyDescent="0.25">
      <c r="A26" s="40" t="s">
        <v>22</v>
      </c>
      <c r="B26" s="4">
        <v>0</v>
      </c>
      <c r="C26" s="4">
        <v>0</v>
      </c>
      <c r="D26" s="4">
        <v>0</v>
      </c>
      <c r="E26" s="4">
        <v>0</v>
      </c>
      <c r="F26" s="4">
        <v>0</v>
      </c>
      <c r="G26" s="4">
        <f t="shared" si="0"/>
        <v>0</v>
      </c>
      <c r="H26" s="11"/>
      <c r="I26" s="4">
        <v>100</v>
      </c>
      <c r="J26" s="4">
        <v>70</v>
      </c>
      <c r="K26" s="4">
        <v>0</v>
      </c>
      <c r="L26" s="4">
        <f t="shared" si="1"/>
        <v>56.666666666666664</v>
      </c>
      <c r="M26" s="54"/>
      <c r="N26" s="4">
        <v>60</v>
      </c>
      <c r="O26" s="54"/>
      <c r="P26" s="72">
        <v>75</v>
      </c>
      <c r="Q26" s="11"/>
      <c r="R26" s="4">
        <v>25</v>
      </c>
      <c r="S26" s="11"/>
      <c r="T26" s="12">
        <f>100</f>
        <v>100</v>
      </c>
      <c r="U26" s="11"/>
      <c r="V26" s="12">
        <f t="shared" si="2"/>
        <v>38.25</v>
      </c>
    </row>
    <row r="27" spans="1:22" ht="12" customHeight="1" x14ac:dyDescent="0.25">
      <c r="A27" s="40" t="s">
        <v>60</v>
      </c>
      <c r="B27" s="4">
        <v>90</v>
      </c>
      <c r="C27" s="4">
        <v>90</v>
      </c>
      <c r="D27" s="4">
        <v>90</v>
      </c>
      <c r="E27" s="4">
        <v>90</v>
      </c>
      <c r="F27" s="4">
        <v>0</v>
      </c>
      <c r="G27" s="4">
        <f t="shared" si="0"/>
        <v>81</v>
      </c>
      <c r="H27" s="11"/>
      <c r="I27" s="4">
        <v>100</v>
      </c>
      <c r="J27" s="4">
        <v>100</v>
      </c>
      <c r="K27" s="4">
        <v>0</v>
      </c>
      <c r="L27" s="4">
        <f t="shared" si="1"/>
        <v>66.666666666666671</v>
      </c>
      <c r="M27" s="54"/>
      <c r="N27" s="4">
        <v>90</v>
      </c>
      <c r="O27" s="54"/>
      <c r="P27" s="69">
        <v>75</v>
      </c>
      <c r="Q27" s="11"/>
      <c r="R27" s="4">
        <v>40</v>
      </c>
      <c r="S27" s="11"/>
      <c r="T27" s="12">
        <f>100</f>
        <v>100</v>
      </c>
      <c r="U27" s="11"/>
      <c r="V27" s="12">
        <f t="shared" si="2"/>
        <v>58.35</v>
      </c>
    </row>
    <row r="28" spans="1:22" ht="12" customHeight="1" x14ac:dyDescent="0.25">
      <c r="A28" s="40" t="s">
        <v>51</v>
      </c>
      <c r="B28" s="4">
        <v>90</v>
      </c>
      <c r="C28" s="4">
        <v>90</v>
      </c>
      <c r="D28" s="4">
        <v>90</v>
      </c>
      <c r="E28" s="4">
        <v>90</v>
      </c>
      <c r="F28" s="4">
        <v>0</v>
      </c>
      <c r="G28" s="4">
        <f t="shared" si="0"/>
        <v>81</v>
      </c>
      <c r="H28" s="11"/>
      <c r="I28" s="4">
        <v>0</v>
      </c>
      <c r="J28" s="4">
        <v>100</v>
      </c>
      <c r="K28" s="4">
        <v>0</v>
      </c>
      <c r="L28" s="4">
        <f t="shared" si="1"/>
        <v>33.333333333333336</v>
      </c>
      <c r="M28" s="54"/>
      <c r="N28" s="4">
        <v>85</v>
      </c>
      <c r="O28" s="54"/>
      <c r="P28" s="4">
        <v>0</v>
      </c>
      <c r="Q28" s="11"/>
      <c r="R28" s="4">
        <v>65</v>
      </c>
      <c r="S28" s="11"/>
      <c r="T28" s="12">
        <f>100</f>
        <v>100</v>
      </c>
      <c r="U28" s="11"/>
      <c r="V28" s="12">
        <f t="shared" si="2"/>
        <v>54.1</v>
      </c>
    </row>
    <row r="29" spans="1:22" ht="12" customHeight="1" x14ac:dyDescent="0.25">
      <c r="A29" s="40" t="s">
        <v>23</v>
      </c>
      <c r="B29" s="4">
        <v>90</v>
      </c>
      <c r="C29" s="4">
        <v>90</v>
      </c>
      <c r="D29" s="4">
        <v>85</v>
      </c>
      <c r="E29" s="4">
        <v>90</v>
      </c>
      <c r="F29" s="4">
        <v>90</v>
      </c>
      <c r="G29" s="4">
        <f t="shared" si="0"/>
        <v>87</v>
      </c>
      <c r="H29" s="11"/>
      <c r="I29" s="4">
        <v>100</v>
      </c>
      <c r="J29" s="4">
        <v>100</v>
      </c>
      <c r="K29" s="4">
        <v>100</v>
      </c>
      <c r="L29" s="4">
        <f t="shared" si="1"/>
        <v>100</v>
      </c>
      <c r="M29" s="54"/>
      <c r="N29" s="4">
        <v>50</v>
      </c>
      <c r="O29" s="54"/>
      <c r="P29" s="73">
        <v>75</v>
      </c>
      <c r="Q29" s="11"/>
      <c r="R29" s="4">
        <v>55</v>
      </c>
      <c r="S29" s="11"/>
      <c r="T29" s="12">
        <f>100</f>
        <v>100</v>
      </c>
      <c r="U29" s="11"/>
      <c r="V29" s="12">
        <f t="shared" si="2"/>
        <v>67.45</v>
      </c>
    </row>
    <row r="30" spans="1:22" ht="12" customHeight="1" x14ac:dyDescent="0.25">
      <c r="A30" s="40" t="s">
        <v>29</v>
      </c>
      <c r="B30" s="4">
        <v>90</v>
      </c>
      <c r="C30" s="4">
        <v>90</v>
      </c>
      <c r="D30" s="4">
        <v>90</v>
      </c>
      <c r="E30" s="4">
        <v>90</v>
      </c>
      <c r="F30" s="4">
        <v>90</v>
      </c>
      <c r="G30" s="4">
        <f t="shared" si="0"/>
        <v>90</v>
      </c>
      <c r="H30" s="11"/>
      <c r="I30" s="4">
        <v>100</v>
      </c>
      <c r="J30" s="4">
        <v>100</v>
      </c>
      <c r="K30" s="4">
        <v>0</v>
      </c>
      <c r="L30" s="4">
        <f t="shared" si="1"/>
        <v>66.666666666666671</v>
      </c>
      <c r="M30" s="54"/>
      <c r="N30" s="4">
        <v>80</v>
      </c>
      <c r="O30" s="54"/>
      <c r="P30" s="71">
        <v>90</v>
      </c>
      <c r="Q30" s="11"/>
      <c r="R30" s="4">
        <v>100</v>
      </c>
      <c r="S30" s="11"/>
      <c r="T30" s="12">
        <f>100</f>
        <v>100</v>
      </c>
      <c r="U30" s="11"/>
      <c r="V30" s="12">
        <f t="shared" si="2"/>
        <v>90.5</v>
      </c>
    </row>
    <row r="31" spans="1:22" ht="12" customHeight="1" x14ac:dyDescent="0.25">
      <c r="A31" s="40" t="s">
        <v>40</v>
      </c>
      <c r="B31" s="4">
        <v>90</v>
      </c>
      <c r="C31" s="4">
        <v>95</v>
      </c>
      <c r="D31" s="4">
        <v>90</v>
      </c>
      <c r="E31" s="4">
        <v>90</v>
      </c>
      <c r="F31" s="4">
        <v>90</v>
      </c>
      <c r="G31" s="4">
        <f t="shared" si="0"/>
        <v>90.5</v>
      </c>
      <c r="H31" s="11"/>
      <c r="I31" s="4">
        <v>100</v>
      </c>
      <c r="J31" s="4">
        <v>100</v>
      </c>
      <c r="K31" s="4">
        <v>0</v>
      </c>
      <c r="L31" s="4">
        <f t="shared" si="1"/>
        <v>66.666666666666671</v>
      </c>
      <c r="M31" s="54"/>
      <c r="N31" s="4">
        <v>80</v>
      </c>
      <c r="O31" s="54"/>
      <c r="P31" s="72">
        <v>75</v>
      </c>
      <c r="Q31" s="11"/>
      <c r="R31" s="4">
        <v>70</v>
      </c>
      <c r="S31" s="11"/>
      <c r="T31" s="12">
        <f>100</f>
        <v>100</v>
      </c>
      <c r="U31" s="11"/>
      <c r="V31" s="12">
        <f t="shared" si="2"/>
        <v>73.3</v>
      </c>
    </row>
    <row r="32" spans="1:22" ht="12" customHeight="1" x14ac:dyDescent="0.25">
      <c r="A32" s="40" t="s">
        <v>41</v>
      </c>
      <c r="B32" s="4">
        <v>0</v>
      </c>
      <c r="C32" s="4">
        <v>0</v>
      </c>
      <c r="D32" s="4">
        <v>0</v>
      </c>
      <c r="E32" s="4">
        <v>0</v>
      </c>
      <c r="F32" s="4">
        <v>0</v>
      </c>
      <c r="G32" s="4">
        <f t="shared" si="0"/>
        <v>0</v>
      </c>
      <c r="H32" s="11"/>
      <c r="I32" s="4">
        <v>0</v>
      </c>
      <c r="J32" s="4">
        <v>100</v>
      </c>
      <c r="K32" s="4">
        <v>0</v>
      </c>
      <c r="L32" s="4">
        <f t="shared" si="1"/>
        <v>33.333333333333336</v>
      </c>
      <c r="M32" s="54"/>
      <c r="N32" s="4">
        <v>65</v>
      </c>
      <c r="O32" s="54"/>
      <c r="P32" s="71">
        <v>90</v>
      </c>
      <c r="Q32" s="11"/>
      <c r="R32" s="4">
        <v>55</v>
      </c>
      <c r="S32" s="11"/>
      <c r="T32" s="12">
        <f>100</f>
        <v>100</v>
      </c>
      <c r="U32" s="11"/>
      <c r="V32" s="12">
        <f t="shared" si="2"/>
        <v>52.5</v>
      </c>
    </row>
    <row r="33" spans="1:22" ht="12" customHeight="1" x14ac:dyDescent="0.25">
      <c r="A33" s="40" t="s">
        <v>42</v>
      </c>
      <c r="B33" s="4">
        <v>0</v>
      </c>
      <c r="C33" s="4">
        <v>0</v>
      </c>
      <c r="D33" s="4">
        <v>0</v>
      </c>
      <c r="E33" s="4">
        <v>0</v>
      </c>
      <c r="F33" s="4">
        <v>0</v>
      </c>
      <c r="G33" s="4">
        <f t="shared" si="0"/>
        <v>0</v>
      </c>
      <c r="H33" s="11"/>
      <c r="I33" s="4">
        <v>0</v>
      </c>
      <c r="J33" s="4">
        <v>100</v>
      </c>
      <c r="K33" s="4">
        <v>0</v>
      </c>
      <c r="L33" s="4">
        <f t="shared" si="1"/>
        <v>33.333333333333336</v>
      </c>
      <c r="M33" s="54"/>
      <c r="N33" s="4">
        <v>30</v>
      </c>
      <c r="O33" s="54"/>
      <c r="P33" s="68">
        <v>85</v>
      </c>
      <c r="Q33" s="11"/>
      <c r="R33" s="4">
        <v>5</v>
      </c>
      <c r="S33" s="11"/>
      <c r="T33" s="12">
        <f>100</f>
        <v>100</v>
      </c>
      <c r="U33" s="11"/>
      <c r="V33" s="12">
        <f t="shared" si="2"/>
        <v>23.25</v>
      </c>
    </row>
    <row r="34" spans="1:22" ht="12" customHeight="1" x14ac:dyDescent="0.25">
      <c r="A34" s="40" t="s">
        <v>43</v>
      </c>
      <c r="B34" s="4">
        <v>90</v>
      </c>
      <c r="C34" s="4">
        <v>85</v>
      </c>
      <c r="D34" s="4">
        <v>85</v>
      </c>
      <c r="E34" s="4">
        <v>90</v>
      </c>
      <c r="F34" s="4">
        <v>0</v>
      </c>
      <c r="G34" s="4">
        <f t="shared" si="0"/>
        <v>77.5</v>
      </c>
      <c r="H34" s="11"/>
      <c r="I34" s="4">
        <v>100</v>
      </c>
      <c r="J34" s="4">
        <v>100</v>
      </c>
      <c r="K34" s="4">
        <v>0</v>
      </c>
      <c r="L34" s="4">
        <f t="shared" si="1"/>
        <v>66.666666666666671</v>
      </c>
      <c r="M34" s="54"/>
      <c r="N34" s="4">
        <v>80</v>
      </c>
      <c r="O34" s="54"/>
      <c r="P34" s="73">
        <v>75</v>
      </c>
      <c r="Q34" s="11"/>
      <c r="R34" s="4">
        <v>70</v>
      </c>
      <c r="S34" s="11"/>
      <c r="T34" s="12">
        <f>100</f>
        <v>100</v>
      </c>
      <c r="U34" s="11"/>
      <c r="V34" s="12">
        <f t="shared" si="2"/>
        <v>72</v>
      </c>
    </row>
    <row r="35" spans="1:22" ht="12" customHeight="1" x14ac:dyDescent="0.25">
      <c r="A35" s="40" t="s">
        <v>44</v>
      </c>
      <c r="B35" s="4">
        <v>0</v>
      </c>
      <c r="C35" s="4">
        <v>0</v>
      </c>
      <c r="D35" s="4">
        <v>0</v>
      </c>
      <c r="E35" s="4">
        <v>0</v>
      </c>
      <c r="F35" s="4">
        <v>0</v>
      </c>
      <c r="G35" s="4">
        <f t="shared" si="0"/>
        <v>0</v>
      </c>
      <c r="H35" s="11"/>
      <c r="I35" s="4">
        <v>0</v>
      </c>
      <c r="J35" s="4">
        <v>0</v>
      </c>
      <c r="K35" s="4">
        <v>0</v>
      </c>
      <c r="L35" s="4">
        <f t="shared" si="1"/>
        <v>0</v>
      </c>
      <c r="M35" s="54"/>
      <c r="N35" s="4">
        <v>0</v>
      </c>
      <c r="O35" s="54"/>
      <c r="P35" s="4">
        <v>0</v>
      </c>
      <c r="Q35" s="11"/>
      <c r="R35" s="4">
        <v>0</v>
      </c>
      <c r="S35" s="11"/>
      <c r="T35" s="12">
        <f>100</f>
        <v>100</v>
      </c>
      <c r="U35" s="11"/>
      <c r="V35" s="12">
        <f t="shared" si="2"/>
        <v>0</v>
      </c>
    </row>
    <row r="36" spans="1:22" ht="12" customHeight="1" x14ac:dyDescent="0.25">
      <c r="A36" s="40" t="s">
        <v>54</v>
      </c>
      <c r="B36" s="4">
        <v>85</v>
      </c>
      <c r="C36" s="4">
        <v>90</v>
      </c>
      <c r="D36" s="4">
        <v>90</v>
      </c>
      <c r="E36" s="4">
        <v>90</v>
      </c>
      <c r="F36" s="4">
        <v>0</v>
      </c>
      <c r="G36" s="4">
        <f t="shared" si="0"/>
        <v>80.5</v>
      </c>
      <c r="H36" s="11"/>
      <c r="I36" s="4">
        <v>100</v>
      </c>
      <c r="J36" s="4">
        <v>100</v>
      </c>
      <c r="K36" s="4">
        <v>100</v>
      </c>
      <c r="L36" s="4">
        <f t="shared" si="1"/>
        <v>100</v>
      </c>
      <c r="M36" s="54"/>
      <c r="N36" s="4">
        <v>70</v>
      </c>
      <c r="O36" s="54"/>
      <c r="P36" s="73">
        <v>75</v>
      </c>
      <c r="Q36" s="11"/>
      <c r="R36" s="4">
        <v>65</v>
      </c>
      <c r="S36" s="11"/>
      <c r="T36" s="12">
        <f>100</f>
        <v>100</v>
      </c>
      <c r="U36" s="11"/>
      <c r="V36" s="12">
        <f t="shared" si="2"/>
        <v>73.8</v>
      </c>
    </row>
    <row r="37" spans="1:22" ht="12" customHeight="1" x14ac:dyDescent="0.25">
      <c r="A37" s="40" t="s">
        <v>58</v>
      </c>
      <c r="B37" s="4">
        <v>0</v>
      </c>
      <c r="C37" s="4">
        <v>0</v>
      </c>
      <c r="D37" s="4">
        <v>0</v>
      </c>
      <c r="E37" s="4">
        <v>0</v>
      </c>
      <c r="F37" s="4">
        <v>0</v>
      </c>
      <c r="G37" s="4">
        <f t="shared" si="0"/>
        <v>0</v>
      </c>
      <c r="H37" s="11"/>
      <c r="I37" s="4">
        <v>100</v>
      </c>
      <c r="J37" s="4">
        <v>0</v>
      </c>
      <c r="K37" s="4">
        <v>0</v>
      </c>
      <c r="L37" s="4">
        <f t="shared" si="1"/>
        <v>33.333333333333336</v>
      </c>
      <c r="M37" s="54"/>
      <c r="N37" s="4">
        <v>0</v>
      </c>
      <c r="O37" s="54"/>
      <c r="P37" s="73">
        <v>75</v>
      </c>
      <c r="Q37" s="11"/>
      <c r="R37" s="4">
        <v>40</v>
      </c>
      <c r="S37" s="11"/>
      <c r="T37" s="12">
        <f>100</f>
        <v>100</v>
      </c>
      <c r="U37" s="11"/>
      <c r="V37" s="12">
        <f t="shared" si="2"/>
        <v>36.25</v>
      </c>
    </row>
    <row r="38" spans="1:22" ht="12" customHeight="1" x14ac:dyDescent="0.25">
      <c r="A38" s="40" t="s">
        <v>61</v>
      </c>
      <c r="B38" s="4">
        <v>90</v>
      </c>
      <c r="C38" s="4">
        <v>85</v>
      </c>
      <c r="D38" s="4">
        <v>85</v>
      </c>
      <c r="E38" s="4">
        <v>90</v>
      </c>
      <c r="F38" s="4">
        <v>0</v>
      </c>
      <c r="G38" s="4">
        <f t="shared" si="0"/>
        <v>77.5</v>
      </c>
      <c r="H38" s="11"/>
      <c r="I38" s="4">
        <v>100</v>
      </c>
      <c r="J38" s="4">
        <v>100</v>
      </c>
      <c r="K38" s="4">
        <v>0</v>
      </c>
      <c r="L38" s="4">
        <f t="shared" si="1"/>
        <v>66.666666666666671</v>
      </c>
      <c r="M38" s="54"/>
      <c r="N38" s="4">
        <v>90</v>
      </c>
      <c r="O38" s="54"/>
      <c r="P38" s="69">
        <v>75</v>
      </c>
      <c r="Q38" s="11"/>
      <c r="R38" s="4">
        <v>55</v>
      </c>
      <c r="S38" s="11"/>
      <c r="T38" s="12">
        <f>100</f>
        <v>100</v>
      </c>
      <c r="U38" s="11"/>
      <c r="V38" s="12">
        <f t="shared" si="2"/>
        <v>65.5</v>
      </c>
    </row>
    <row r="39" spans="1:22" ht="12" customHeight="1" x14ac:dyDescent="0.25">
      <c r="A39" s="40" t="s">
        <v>62</v>
      </c>
      <c r="B39" s="4">
        <v>0</v>
      </c>
      <c r="C39" s="4">
        <v>0</v>
      </c>
      <c r="D39" s="4">
        <v>0</v>
      </c>
      <c r="E39" s="4">
        <v>0</v>
      </c>
      <c r="F39" s="4">
        <v>0</v>
      </c>
      <c r="G39" s="4">
        <f t="shared" si="0"/>
        <v>0</v>
      </c>
      <c r="H39" s="11"/>
      <c r="I39" s="4">
        <v>100</v>
      </c>
      <c r="J39" s="4">
        <v>0</v>
      </c>
      <c r="K39" s="4">
        <v>0</v>
      </c>
      <c r="L39" s="4">
        <f t="shared" si="1"/>
        <v>33.333333333333336</v>
      </c>
      <c r="M39" s="54"/>
      <c r="N39" s="4">
        <v>0</v>
      </c>
      <c r="O39" s="54"/>
      <c r="P39" s="73">
        <v>75</v>
      </c>
      <c r="Q39" s="11"/>
      <c r="R39" s="4">
        <v>85</v>
      </c>
      <c r="S39" s="11"/>
      <c r="T39" s="12">
        <f>100</f>
        <v>100</v>
      </c>
      <c r="U39" s="11"/>
      <c r="V39" s="12">
        <f t="shared" si="2"/>
        <v>58.75</v>
      </c>
    </row>
    <row r="40" spans="1:22" ht="12" customHeight="1" x14ac:dyDescent="0.25">
      <c r="A40" s="40" t="s">
        <v>66</v>
      </c>
      <c r="B40" s="4">
        <v>90</v>
      </c>
      <c r="C40" s="4">
        <v>90</v>
      </c>
      <c r="D40" s="4">
        <v>85</v>
      </c>
      <c r="E40" s="4">
        <v>90</v>
      </c>
      <c r="F40" s="4">
        <v>90</v>
      </c>
      <c r="G40" s="4">
        <f t="shared" si="0"/>
        <v>87</v>
      </c>
      <c r="H40" s="11"/>
      <c r="I40" s="4">
        <v>0</v>
      </c>
      <c r="J40" s="4">
        <v>0</v>
      </c>
      <c r="K40" s="4">
        <v>0</v>
      </c>
      <c r="L40" s="4">
        <f t="shared" si="1"/>
        <v>0</v>
      </c>
      <c r="M40" s="54"/>
      <c r="N40" s="4">
        <v>70</v>
      </c>
      <c r="O40" s="54"/>
      <c r="P40" s="71">
        <v>90</v>
      </c>
      <c r="Q40" s="11"/>
      <c r="R40" s="4">
        <v>40</v>
      </c>
      <c r="S40" s="11"/>
      <c r="T40" s="12">
        <f>100</f>
        <v>100</v>
      </c>
      <c r="U40" s="11"/>
      <c r="V40" s="12">
        <f t="shared" si="2"/>
        <v>49.2</v>
      </c>
    </row>
    <row r="41" spans="1:22" x14ac:dyDescent="0.25">
      <c r="E41" s="22"/>
    </row>
  </sheetData>
  <mergeCells count="2">
    <mergeCell ref="I1:K1"/>
    <mergeCell ref="B1:G1"/>
  </mergeCell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W41"/>
  <sheetViews>
    <sheetView workbookViewId="0">
      <selection activeCell="I32" sqref="I32"/>
    </sheetView>
  </sheetViews>
  <sheetFormatPr baseColWidth="10" defaultRowHeight="15" x14ac:dyDescent="0.25"/>
  <cols>
    <col min="1" max="1" width="30.42578125" customWidth="1"/>
    <col min="2" max="7" width="4.28515625" customWidth="1"/>
    <col min="8" max="8" width="1.7109375" customWidth="1"/>
    <col min="9" max="12" width="5.7109375" customWidth="1"/>
    <col min="13" max="13" width="1.7109375" customWidth="1"/>
    <col min="14" max="14" width="12.140625" customWidth="1"/>
    <col min="15" max="15" width="1.28515625" customWidth="1"/>
    <col min="16" max="16" width="11.5703125" customWidth="1"/>
    <col min="17" max="17" width="1.7109375" customWidth="1"/>
    <col min="18" max="18" width="8.140625" customWidth="1"/>
    <col min="19" max="19" width="8" customWidth="1"/>
    <col min="20" max="20" width="1.7109375" customWidth="1"/>
    <col min="22" max="22" width="1.7109375" customWidth="1"/>
    <col min="23" max="23" width="14" customWidth="1"/>
  </cols>
  <sheetData>
    <row r="1" spans="1:23" x14ac:dyDescent="0.25">
      <c r="A1" s="1"/>
      <c r="B1" s="77" t="s">
        <v>76</v>
      </c>
      <c r="C1" s="77"/>
      <c r="D1" s="77"/>
      <c r="E1" s="77"/>
      <c r="F1" s="77"/>
      <c r="G1" s="77"/>
      <c r="H1" s="21"/>
      <c r="I1" s="76" t="s">
        <v>34</v>
      </c>
      <c r="J1" s="76"/>
      <c r="K1" s="76"/>
      <c r="L1" s="48"/>
      <c r="M1" s="51"/>
      <c r="N1" s="56" t="s">
        <v>70</v>
      </c>
      <c r="O1" s="57"/>
      <c r="P1" s="56" t="s">
        <v>68</v>
      </c>
      <c r="Q1" s="58"/>
      <c r="R1" s="56" t="s">
        <v>35</v>
      </c>
      <c r="S1" s="56" t="s">
        <v>71</v>
      </c>
      <c r="T1" s="58"/>
      <c r="U1" s="56" t="s">
        <v>36</v>
      </c>
      <c r="V1" s="58"/>
      <c r="W1" s="56" t="s">
        <v>37</v>
      </c>
    </row>
    <row r="2" spans="1:23" x14ac:dyDescent="0.25">
      <c r="A2" s="13" t="s">
        <v>28</v>
      </c>
      <c r="B2" s="52" t="s">
        <v>46</v>
      </c>
      <c r="C2" s="52" t="s">
        <v>47</v>
      </c>
      <c r="D2" s="52" t="s">
        <v>48</v>
      </c>
      <c r="E2" s="52" t="s">
        <v>49</v>
      </c>
      <c r="F2" s="52" t="s">
        <v>50</v>
      </c>
      <c r="G2" s="53" t="s">
        <v>53</v>
      </c>
      <c r="H2" s="15"/>
      <c r="I2" s="49" t="s">
        <v>31</v>
      </c>
      <c r="J2" s="49" t="s">
        <v>32</v>
      </c>
      <c r="K2" s="49" t="s">
        <v>33</v>
      </c>
      <c r="L2" s="49" t="s">
        <v>39</v>
      </c>
      <c r="M2" s="50"/>
      <c r="N2" s="49"/>
      <c r="O2" s="50"/>
      <c r="P2" s="49"/>
      <c r="Q2" s="17"/>
      <c r="R2" s="25"/>
      <c r="S2" s="25"/>
      <c r="T2" s="17"/>
      <c r="U2" s="25"/>
      <c r="V2" s="17"/>
      <c r="W2" s="55"/>
    </row>
    <row r="3" spans="1:23" ht="12" customHeight="1" x14ac:dyDescent="0.25">
      <c r="A3" s="40" t="s">
        <v>0</v>
      </c>
      <c r="B3" s="4">
        <v>80</v>
      </c>
      <c r="C3" s="4">
        <v>90</v>
      </c>
      <c r="D3" s="4">
        <v>85</v>
      </c>
      <c r="E3" s="4">
        <v>90</v>
      </c>
      <c r="F3" s="4">
        <v>0</v>
      </c>
      <c r="G3" s="4">
        <f>SUM(B3*0.1,C3*0.1,D3*0.6,E3*0.1,F3*0.1)</f>
        <v>77</v>
      </c>
      <c r="H3" s="11"/>
      <c r="I3" s="4">
        <v>100</v>
      </c>
      <c r="J3" s="4"/>
      <c r="K3" s="4"/>
      <c r="L3" s="4">
        <f>AVERAGE(I3:K3)</f>
        <v>100</v>
      </c>
      <c r="M3" s="54"/>
      <c r="N3" s="4">
        <v>100</v>
      </c>
      <c r="O3" s="54"/>
      <c r="P3" s="4">
        <v>0</v>
      </c>
      <c r="Q3" s="11"/>
      <c r="R3" s="4">
        <v>20</v>
      </c>
      <c r="S3" s="12">
        <f>R3</f>
        <v>20</v>
      </c>
      <c r="T3" s="11"/>
      <c r="U3" s="12">
        <f>100</f>
        <v>100</v>
      </c>
      <c r="V3" s="11"/>
      <c r="W3" s="12">
        <f>IF(SUM(G3*0.1,L3*0.15,N3*0.1,P3*0.15,S3*0.5,U3*0.05)&gt;=100,100,SUM(G3*0.1,L3*0.15,N3*0.1,P3*0.15,S3*0.5,U3*0.05))</f>
        <v>47.7</v>
      </c>
    </row>
    <row r="4" spans="1:23" ht="12" customHeight="1" x14ac:dyDescent="0.25">
      <c r="A4" s="40" t="s">
        <v>1</v>
      </c>
      <c r="B4" s="4">
        <v>90</v>
      </c>
      <c r="C4" s="4">
        <v>95</v>
      </c>
      <c r="D4" s="4">
        <v>95</v>
      </c>
      <c r="E4" s="4">
        <v>90</v>
      </c>
      <c r="F4" s="4">
        <v>90</v>
      </c>
      <c r="G4" s="4">
        <f t="shared" ref="G4:G40" si="0">SUM(B4*0.1,C4*0.1,D4*0.6,E4*0.1,F4*0.1)</f>
        <v>93.5</v>
      </c>
      <c r="H4" s="11"/>
      <c r="I4" s="4">
        <v>100</v>
      </c>
      <c r="J4" s="4"/>
      <c r="K4" s="4"/>
      <c r="L4" s="4">
        <f t="shared" ref="L4:L40" si="1">AVERAGE(I4:K4)</f>
        <v>100</v>
      </c>
      <c r="M4" s="54"/>
      <c r="N4" s="4">
        <v>100</v>
      </c>
      <c r="O4" s="54"/>
      <c r="P4" s="4">
        <v>0</v>
      </c>
      <c r="Q4" s="11"/>
      <c r="R4" s="4">
        <v>25</v>
      </c>
      <c r="S4" s="12">
        <f t="shared" ref="S4:S40" si="2">R4</f>
        <v>25</v>
      </c>
      <c r="T4" s="11"/>
      <c r="U4" s="12">
        <f>100</f>
        <v>100</v>
      </c>
      <c r="V4" s="11"/>
      <c r="W4" s="12">
        <f t="shared" ref="W4:W40" si="3">IF(SUM(G4*0.1,L4*0.15,N4*0.1,P4*0.15,S4*0.5,U4*0.05)&gt;=100,100,SUM(G4*0.1,L4*0.15,N4*0.1,P4*0.15,S4*0.5,U4*0.05))</f>
        <v>51.85</v>
      </c>
    </row>
    <row r="5" spans="1:23" ht="12" customHeight="1" x14ac:dyDescent="0.25">
      <c r="A5" s="40" t="s">
        <v>2</v>
      </c>
      <c r="B5" s="4">
        <v>90</v>
      </c>
      <c r="C5" s="4">
        <v>90</v>
      </c>
      <c r="D5" s="4">
        <v>95</v>
      </c>
      <c r="E5" s="4">
        <v>90</v>
      </c>
      <c r="F5" s="4">
        <v>90</v>
      </c>
      <c r="G5" s="4">
        <f t="shared" si="0"/>
        <v>93</v>
      </c>
      <c r="H5" s="11"/>
      <c r="I5" s="4">
        <v>100</v>
      </c>
      <c r="J5" s="4"/>
      <c r="K5" s="4"/>
      <c r="L5" s="4">
        <f t="shared" si="1"/>
        <v>100</v>
      </c>
      <c r="M5" s="54"/>
      <c r="N5" s="4">
        <v>100</v>
      </c>
      <c r="O5" s="54"/>
      <c r="P5" s="4">
        <v>0</v>
      </c>
      <c r="Q5" s="11"/>
      <c r="R5" s="4">
        <v>20</v>
      </c>
      <c r="S5" s="12">
        <f t="shared" si="2"/>
        <v>20</v>
      </c>
      <c r="T5" s="11"/>
      <c r="U5" s="12">
        <f>100</f>
        <v>100</v>
      </c>
      <c r="V5" s="11"/>
      <c r="W5" s="12">
        <f t="shared" si="3"/>
        <v>49.3</v>
      </c>
    </row>
    <row r="6" spans="1:23" ht="12" customHeight="1" x14ac:dyDescent="0.25">
      <c r="A6" s="40" t="s">
        <v>59</v>
      </c>
      <c r="B6" s="4">
        <v>0</v>
      </c>
      <c r="C6" s="4">
        <v>0</v>
      </c>
      <c r="D6" s="4">
        <v>0</v>
      </c>
      <c r="E6" s="4">
        <v>0</v>
      </c>
      <c r="F6" s="4">
        <v>0</v>
      </c>
      <c r="G6" s="4">
        <f t="shared" si="0"/>
        <v>0</v>
      </c>
      <c r="H6" s="11"/>
      <c r="I6" s="4">
        <v>100</v>
      </c>
      <c r="J6" s="4"/>
      <c r="K6" s="4"/>
      <c r="L6" s="4">
        <f t="shared" si="1"/>
        <v>100</v>
      </c>
      <c r="M6" s="54"/>
      <c r="N6" s="4">
        <v>100</v>
      </c>
      <c r="O6" s="54"/>
      <c r="P6" s="4">
        <v>0</v>
      </c>
      <c r="Q6" s="11"/>
      <c r="R6" s="4">
        <v>0</v>
      </c>
      <c r="S6" s="12">
        <f t="shared" si="2"/>
        <v>0</v>
      </c>
      <c r="T6" s="11"/>
      <c r="U6" s="12">
        <f>100</f>
        <v>100</v>
      </c>
      <c r="V6" s="11"/>
      <c r="W6" s="12">
        <f t="shared" si="3"/>
        <v>30</v>
      </c>
    </row>
    <row r="7" spans="1:23" ht="12" customHeight="1" x14ac:dyDescent="0.25">
      <c r="A7" s="40" t="s">
        <v>3</v>
      </c>
      <c r="B7" s="4">
        <v>85</v>
      </c>
      <c r="C7" s="4">
        <v>90</v>
      </c>
      <c r="D7" s="4">
        <v>85</v>
      </c>
      <c r="E7" s="4">
        <v>90</v>
      </c>
      <c r="F7" s="4">
        <v>0</v>
      </c>
      <c r="G7" s="4">
        <f t="shared" si="0"/>
        <v>77.5</v>
      </c>
      <c r="H7" s="11"/>
      <c r="I7" s="4">
        <v>100</v>
      </c>
      <c r="J7" s="4"/>
      <c r="K7" s="4"/>
      <c r="L7" s="4">
        <f t="shared" si="1"/>
        <v>100</v>
      </c>
      <c r="M7" s="54"/>
      <c r="N7" s="4">
        <v>100</v>
      </c>
      <c r="O7" s="54"/>
      <c r="P7" s="4">
        <v>0</v>
      </c>
      <c r="Q7" s="11"/>
      <c r="R7" s="4">
        <v>15</v>
      </c>
      <c r="S7" s="12">
        <f t="shared" si="2"/>
        <v>15</v>
      </c>
      <c r="T7" s="11"/>
      <c r="U7" s="12">
        <f>100</f>
        <v>100</v>
      </c>
      <c r="V7" s="11"/>
      <c r="W7" s="12">
        <f t="shared" si="3"/>
        <v>45.25</v>
      </c>
    </row>
    <row r="8" spans="1:23" ht="12" customHeight="1" x14ac:dyDescent="0.25">
      <c r="A8" s="40" t="s">
        <v>4</v>
      </c>
      <c r="B8" s="4">
        <v>90</v>
      </c>
      <c r="C8" s="4">
        <v>90</v>
      </c>
      <c r="D8" s="4">
        <v>95</v>
      </c>
      <c r="E8" s="4">
        <v>90</v>
      </c>
      <c r="F8" s="4">
        <v>90</v>
      </c>
      <c r="G8" s="4">
        <f t="shared" si="0"/>
        <v>93</v>
      </c>
      <c r="H8" s="11"/>
      <c r="I8" s="4">
        <v>100</v>
      </c>
      <c r="J8" s="4"/>
      <c r="K8" s="4"/>
      <c r="L8" s="4">
        <f t="shared" si="1"/>
        <v>100</v>
      </c>
      <c r="M8" s="54"/>
      <c r="N8" s="4">
        <v>100</v>
      </c>
      <c r="O8" s="54"/>
      <c r="P8" s="4">
        <v>90</v>
      </c>
      <c r="Q8" s="11"/>
      <c r="R8" s="4">
        <v>20</v>
      </c>
      <c r="S8" s="12">
        <f t="shared" si="2"/>
        <v>20</v>
      </c>
      <c r="T8" s="11"/>
      <c r="U8" s="12">
        <f>100</f>
        <v>100</v>
      </c>
      <c r="V8" s="11"/>
      <c r="W8" s="12">
        <f t="shared" si="3"/>
        <v>62.8</v>
      </c>
    </row>
    <row r="9" spans="1:23" ht="12" customHeight="1" x14ac:dyDescent="0.25">
      <c r="A9" s="40" t="s">
        <v>5</v>
      </c>
      <c r="B9" s="4">
        <v>90</v>
      </c>
      <c r="C9" s="4">
        <v>90</v>
      </c>
      <c r="D9" s="4">
        <v>98</v>
      </c>
      <c r="E9" s="4">
        <v>90</v>
      </c>
      <c r="F9" s="4">
        <v>90</v>
      </c>
      <c r="G9" s="4">
        <f t="shared" si="0"/>
        <v>94.8</v>
      </c>
      <c r="H9" s="11"/>
      <c r="I9" s="4">
        <v>100</v>
      </c>
      <c r="J9" s="4"/>
      <c r="K9" s="4"/>
      <c r="L9" s="4">
        <f t="shared" si="1"/>
        <v>100</v>
      </c>
      <c r="M9" s="54"/>
      <c r="N9" s="4">
        <v>100</v>
      </c>
      <c r="O9" s="54"/>
      <c r="P9" s="4">
        <v>90</v>
      </c>
      <c r="Q9" s="11"/>
      <c r="R9" s="4">
        <v>25</v>
      </c>
      <c r="S9" s="12">
        <f t="shared" si="2"/>
        <v>25</v>
      </c>
      <c r="T9" s="11"/>
      <c r="U9" s="12">
        <f>100</f>
        <v>100</v>
      </c>
      <c r="V9" s="11"/>
      <c r="W9" s="12">
        <f t="shared" si="3"/>
        <v>65.48</v>
      </c>
    </row>
    <row r="10" spans="1:23" ht="12" customHeight="1" x14ac:dyDescent="0.25">
      <c r="A10" s="40" t="s">
        <v>6</v>
      </c>
      <c r="B10" s="4">
        <v>90</v>
      </c>
      <c r="C10" s="4">
        <v>90</v>
      </c>
      <c r="D10" s="4">
        <v>95</v>
      </c>
      <c r="E10" s="4">
        <v>90</v>
      </c>
      <c r="F10" s="4">
        <v>90</v>
      </c>
      <c r="G10" s="4">
        <f t="shared" si="0"/>
        <v>93</v>
      </c>
      <c r="H10" s="11"/>
      <c r="I10" s="4">
        <v>100</v>
      </c>
      <c r="J10" s="4"/>
      <c r="K10" s="4"/>
      <c r="L10" s="4">
        <f t="shared" si="1"/>
        <v>100</v>
      </c>
      <c r="M10" s="54"/>
      <c r="N10" s="4">
        <v>100</v>
      </c>
      <c r="O10" s="54"/>
      <c r="P10" s="4">
        <v>0</v>
      </c>
      <c r="Q10" s="11"/>
      <c r="R10" s="4">
        <v>15</v>
      </c>
      <c r="S10" s="12">
        <f t="shared" si="2"/>
        <v>15</v>
      </c>
      <c r="T10" s="11"/>
      <c r="U10" s="12">
        <f>100</f>
        <v>100</v>
      </c>
      <c r="V10" s="11"/>
      <c r="W10" s="12">
        <f t="shared" si="3"/>
        <v>46.8</v>
      </c>
    </row>
    <row r="11" spans="1:23" ht="12" customHeight="1" x14ac:dyDescent="0.25">
      <c r="A11" s="40" t="s">
        <v>8</v>
      </c>
      <c r="B11" s="4">
        <v>90</v>
      </c>
      <c r="C11" s="4">
        <v>95</v>
      </c>
      <c r="D11" s="4">
        <v>95</v>
      </c>
      <c r="E11" s="4">
        <v>90</v>
      </c>
      <c r="F11" s="4">
        <v>90</v>
      </c>
      <c r="G11" s="4">
        <f t="shared" si="0"/>
        <v>93.5</v>
      </c>
      <c r="H11" s="11"/>
      <c r="I11" s="4">
        <v>100</v>
      </c>
      <c r="J11" s="4"/>
      <c r="K11" s="4"/>
      <c r="L11" s="4">
        <f t="shared" si="1"/>
        <v>100</v>
      </c>
      <c r="M11" s="54"/>
      <c r="N11" s="4">
        <v>100</v>
      </c>
      <c r="O11" s="54"/>
      <c r="P11" s="4">
        <v>0</v>
      </c>
      <c r="Q11" s="11"/>
      <c r="R11" s="4">
        <v>20</v>
      </c>
      <c r="S11" s="12">
        <f t="shared" si="2"/>
        <v>20</v>
      </c>
      <c r="T11" s="11"/>
      <c r="U11" s="12">
        <f>100</f>
        <v>100</v>
      </c>
      <c r="V11" s="11"/>
      <c r="W11" s="12">
        <f t="shared" si="3"/>
        <v>49.35</v>
      </c>
    </row>
    <row r="12" spans="1:23" ht="12" customHeight="1" x14ac:dyDescent="0.25">
      <c r="A12" s="40" t="s">
        <v>9</v>
      </c>
      <c r="B12" s="4">
        <v>0</v>
      </c>
      <c r="C12" s="4">
        <v>0</v>
      </c>
      <c r="D12" s="4">
        <v>0</v>
      </c>
      <c r="E12" s="4">
        <v>0</v>
      </c>
      <c r="F12" s="4">
        <v>0</v>
      </c>
      <c r="G12" s="4">
        <f t="shared" si="0"/>
        <v>0</v>
      </c>
      <c r="H12" s="11"/>
      <c r="I12" s="4">
        <v>100</v>
      </c>
      <c r="J12" s="4"/>
      <c r="K12" s="4"/>
      <c r="L12" s="4">
        <f t="shared" si="1"/>
        <v>100</v>
      </c>
      <c r="M12" s="54"/>
      <c r="N12" s="4">
        <v>100</v>
      </c>
      <c r="O12" s="54"/>
      <c r="P12" s="4">
        <v>0</v>
      </c>
      <c r="Q12" s="11"/>
      <c r="R12" s="4">
        <v>5</v>
      </c>
      <c r="S12" s="12">
        <f t="shared" si="2"/>
        <v>5</v>
      </c>
      <c r="T12" s="11"/>
      <c r="U12" s="12">
        <f>100</f>
        <v>100</v>
      </c>
      <c r="V12" s="11"/>
      <c r="W12" s="12">
        <f t="shared" si="3"/>
        <v>32.5</v>
      </c>
    </row>
    <row r="13" spans="1:23" ht="12" customHeight="1" x14ac:dyDescent="0.25">
      <c r="A13" s="40" t="s">
        <v>10</v>
      </c>
      <c r="B13" s="4">
        <v>0</v>
      </c>
      <c r="C13" s="4">
        <v>0</v>
      </c>
      <c r="D13" s="4">
        <v>0</v>
      </c>
      <c r="E13" s="4">
        <v>0</v>
      </c>
      <c r="F13" s="4">
        <v>0</v>
      </c>
      <c r="G13" s="4">
        <f t="shared" si="0"/>
        <v>0</v>
      </c>
      <c r="H13" s="11"/>
      <c r="I13" s="4">
        <v>100</v>
      </c>
      <c r="J13" s="4"/>
      <c r="K13" s="4"/>
      <c r="L13" s="4">
        <f t="shared" si="1"/>
        <v>100</v>
      </c>
      <c r="M13" s="54"/>
      <c r="N13" s="4">
        <v>100</v>
      </c>
      <c r="O13" s="54"/>
      <c r="P13" s="4">
        <v>0</v>
      </c>
      <c r="Q13" s="11"/>
      <c r="R13" s="4">
        <v>10</v>
      </c>
      <c r="S13" s="12">
        <f t="shared" si="2"/>
        <v>10</v>
      </c>
      <c r="T13" s="11"/>
      <c r="U13" s="12">
        <f>100</f>
        <v>100</v>
      </c>
      <c r="V13" s="11"/>
      <c r="W13" s="12">
        <f t="shared" si="3"/>
        <v>35</v>
      </c>
    </row>
    <row r="14" spans="1:23" ht="12" customHeight="1" x14ac:dyDescent="0.25">
      <c r="A14" s="40" t="s">
        <v>11</v>
      </c>
      <c r="B14" s="4">
        <v>90</v>
      </c>
      <c r="C14" s="4">
        <v>85</v>
      </c>
      <c r="D14" s="4">
        <v>80</v>
      </c>
      <c r="E14" s="4">
        <v>90</v>
      </c>
      <c r="F14" s="4">
        <v>0</v>
      </c>
      <c r="G14" s="4">
        <f t="shared" si="0"/>
        <v>74.5</v>
      </c>
      <c r="H14" s="11"/>
      <c r="I14" s="4">
        <v>100</v>
      </c>
      <c r="J14" s="4"/>
      <c r="K14" s="4"/>
      <c r="L14" s="4">
        <f t="shared" si="1"/>
        <v>100</v>
      </c>
      <c r="M14" s="54"/>
      <c r="N14" s="4">
        <v>100</v>
      </c>
      <c r="O14" s="54"/>
      <c r="P14" s="4">
        <v>0</v>
      </c>
      <c r="Q14" s="11"/>
      <c r="R14" s="4">
        <v>45</v>
      </c>
      <c r="S14" s="12">
        <f t="shared" si="2"/>
        <v>45</v>
      </c>
      <c r="T14" s="11"/>
      <c r="U14" s="12">
        <f>100</f>
        <v>100</v>
      </c>
      <c r="V14" s="11"/>
      <c r="W14" s="12">
        <f t="shared" si="3"/>
        <v>59.95</v>
      </c>
    </row>
    <row r="15" spans="1:23" ht="12" customHeight="1" x14ac:dyDescent="0.25">
      <c r="A15" s="40" t="s">
        <v>12</v>
      </c>
      <c r="B15" s="4">
        <v>90</v>
      </c>
      <c r="C15" s="4">
        <v>90</v>
      </c>
      <c r="D15" s="4">
        <v>90</v>
      </c>
      <c r="E15" s="4">
        <v>90</v>
      </c>
      <c r="F15" s="4">
        <v>0</v>
      </c>
      <c r="G15" s="4">
        <f t="shared" si="0"/>
        <v>81</v>
      </c>
      <c r="H15" s="11"/>
      <c r="I15" s="4">
        <v>100</v>
      </c>
      <c r="J15" s="4"/>
      <c r="K15" s="4"/>
      <c r="L15" s="4">
        <f t="shared" si="1"/>
        <v>100</v>
      </c>
      <c r="M15" s="54"/>
      <c r="N15" s="4">
        <v>100</v>
      </c>
      <c r="O15" s="54"/>
      <c r="P15" s="4">
        <v>0</v>
      </c>
      <c r="Q15" s="11"/>
      <c r="R15" s="4">
        <v>15</v>
      </c>
      <c r="S15" s="12">
        <f t="shared" si="2"/>
        <v>15</v>
      </c>
      <c r="T15" s="11"/>
      <c r="U15" s="12">
        <f>100</f>
        <v>100</v>
      </c>
      <c r="V15" s="11"/>
      <c r="W15" s="12">
        <f t="shared" si="3"/>
        <v>45.6</v>
      </c>
    </row>
    <row r="16" spans="1:23" ht="12" customHeight="1" x14ac:dyDescent="0.25">
      <c r="A16" s="40" t="s">
        <v>13</v>
      </c>
      <c r="B16" s="4">
        <v>90</v>
      </c>
      <c r="C16" s="4">
        <v>85</v>
      </c>
      <c r="D16" s="4">
        <v>90</v>
      </c>
      <c r="E16" s="4">
        <v>90</v>
      </c>
      <c r="F16" s="4">
        <v>0</v>
      </c>
      <c r="G16" s="4">
        <f t="shared" si="0"/>
        <v>80.5</v>
      </c>
      <c r="H16" s="11"/>
      <c r="I16" s="4">
        <v>100</v>
      </c>
      <c r="J16" s="4"/>
      <c r="K16" s="4"/>
      <c r="L16" s="4">
        <f t="shared" si="1"/>
        <v>100</v>
      </c>
      <c r="M16" s="54"/>
      <c r="N16" s="4">
        <v>100</v>
      </c>
      <c r="O16" s="54"/>
      <c r="P16" s="4">
        <v>85</v>
      </c>
      <c r="Q16" s="11"/>
      <c r="R16" s="4">
        <v>35</v>
      </c>
      <c r="S16" s="12">
        <f t="shared" si="2"/>
        <v>35</v>
      </c>
      <c r="T16" s="11"/>
      <c r="U16" s="12">
        <f>100</f>
        <v>100</v>
      </c>
      <c r="V16" s="11"/>
      <c r="W16" s="12">
        <f t="shared" si="3"/>
        <v>68.3</v>
      </c>
    </row>
    <row r="17" spans="1:23" ht="12" customHeight="1" x14ac:dyDescent="0.25">
      <c r="A17" s="40" t="s">
        <v>14</v>
      </c>
      <c r="B17" s="4">
        <v>0</v>
      </c>
      <c r="C17" s="4">
        <v>0</v>
      </c>
      <c r="D17" s="4">
        <v>0</v>
      </c>
      <c r="E17" s="4">
        <v>0</v>
      </c>
      <c r="F17" s="4">
        <v>0</v>
      </c>
      <c r="G17" s="4">
        <f t="shared" si="0"/>
        <v>0</v>
      </c>
      <c r="H17" s="11"/>
      <c r="I17" s="4">
        <v>100</v>
      </c>
      <c r="J17" s="4"/>
      <c r="K17" s="4"/>
      <c r="L17" s="4">
        <f t="shared" si="1"/>
        <v>100</v>
      </c>
      <c r="M17" s="54"/>
      <c r="N17" s="4">
        <v>100</v>
      </c>
      <c r="O17" s="54"/>
      <c r="P17" s="4">
        <v>0</v>
      </c>
      <c r="Q17" s="11"/>
      <c r="R17" s="4">
        <v>10</v>
      </c>
      <c r="S17" s="12">
        <f t="shared" si="2"/>
        <v>10</v>
      </c>
      <c r="T17" s="11"/>
      <c r="U17" s="12">
        <f>100</f>
        <v>100</v>
      </c>
      <c r="V17" s="11"/>
      <c r="W17" s="12">
        <f t="shared" si="3"/>
        <v>35</v>
      </c>
    </row>
    <row r="18" spans="1:23" ht="12" customHeight="1" x14ac:dyDescent="0.25">
      <c r="A18" s="40" t="s">
        <v>15</v>
      </c>
      <c r="B18" s="4">
        <v>0</v>
      </c>
      <c r="C18" s="4">
        <v>0</v>
      </c>
      <c r="D18" s="4">
        <v>0</v>
      </c>
      <c r="E18" s="4">
        <v>0</v>
      </c>
      <c r="F18" s="4">
        <v>0</v>
      </c>
      <c r="G18" s="4">
        <f t="shared" si="0"/>
        <v>0</v>
      </c>
      <c r="H18" s="11"/>
      <c r="I18" s="4">
        <v>100</v>
      </c>
      <c r="J18" s="4"/>
      <c r="K18" s="4"/>
      <c r="L18" s="4">
        <f t="shared" si="1"/>
        <v>100</v>
      </c>
      <c r="M18" s="54"/>
      <c r="N18" s="4">
        <v>100</v>
      </c>
      <c r="O18" s="54"/>
      <c r="P18" s="4">
        <v>0</v>
      </c>
      <c r="Q18" s="11"/>
      <c r="R18" s="4">
        <v>0</v>
      </c>
      <c r="S18" s="12">
        <f t="shared" si="2"/>
        <v>0</v>
      </c>
      <c r="T18" s="11"/>
      <c r="U18" s="12">
        <f>100</f>
        <v>100</v>
      </c>
      <c r="V18" s="11"/>
      <c r="W18" s="12">
        <f t="shared" si="3"/>
        <v>30</v>
      </c>
    </row>
    <row r="19" spans="1:23" ht="12" customHeight="1" x14ac:dyDescent="0.25">
      <c r="A19" s="40" t="s">
        <v>16</v>
      </c>
      <c r="B19" s="4">
        <v>90</v>
      </c>
      <c r="C19" s="4">
        <v>90</v>
      </c>
      <c r="D19" s="4">
        <v>95</v>
      </c>
      <c r="E19" s="4">
        <v>90</v>
      </c>
      <c r="F19" s="4">
        <v>0</v>
      </c>
      <c r="G19" s="4">
        <f t="shared" si="0"/>
        <v>84</v>
      </c>
      <c r="H19" s="11"/>
      <c r="I19" s="4">
        <v>100</v>
      </c>
      <c r="J19" s="4"/>
      <c r="K19" s="4"/>
      <c r="L19" s="4">
        <f t="shared" si="1"/>
        <v>100</v>
      </c>
      <c r="M19" s="54"/>
      <c r="N19" s="4">
        <v>100</v>
      </c>
      <c r="O19" s="54"/>
      <c r="P19" s="4">
        <v>0</v>
      </c>
      <c r="Q19" s="11"/>
      <c r="R19" s="4">
        <v>20</v>
      </c>
      <c r="S19" s="12">
        <f t="shared" si="2"/>
        <v>20</v>
      </c>
      <c r="T19" s="11"/>
      <c r="U19" s="12">
        <f>100</f>
        <v>100</v>
      </c>
      <c r="V19" s="11"/>
      <c r="W19" s="12">
        <f t="shared" si="3"/>
        <v>48.4</v>
      </c>
    </row>
    <row r="20" spans="1:23" ht="12" customHeight="1" x14ac:dyDescent="0.25">
      <c r="A20" s="40" t="s">
        <v>52</v>
      </c>
      <c r="B20" s="4">
        <v>90</v>
      </c>
      <c r="C20" s="4">
        <v>95</v>
      </c>
      <c r="D20" s="4">
        <v>95</v>
      </c>
      <c r="E20" s="4">
        <v>90</v>
      </c>
      <c r="F20" s="4">
        <v>90</v>
      </c>
      <c r="G20" s="4">
        <f t="shared" si="0"/>
        <v>93.5</v>
      </c>
      <c r="H20" s="11"/>
      <c r="I20" s="4">
        <v>100</v>
      </c>
      <c r="J20" s="4"/>
      <c r="K20" s="4"/>
      <c r="L20" s="4">
        <f t="shared" si="1"/>
        <v>100</v>
      </c>
      <c r="M20" s="54"/>
      <c r="N20" s="4">
        <v>100</v>
      </c>
      <c r="O20" s="54"/>
      <c r="P20" s="4">
        <v>0</v>
      </c>
      <c r="Q20" s="11"/>
      <c r="R20" s="4">
        <v>40</v>
      </c>
      <c r="S20" s="12">
        <f t="shared" si="2"/>
        <v>40</v>
      </c>
      <c r="T20" s="11"/>
      <c r="U20" s="12">
        <f>100</f>
        <v>100</v>
      </c>
      <c r="V20" s="11"/>
      <c r="W20" s="12">
        <f t="shared" si="3"/>
        <v>59.35</v>
      </c>
    </row>
    <row r="21" spans="1:23" ht="12" customHeight="1" x14ac:dyDescent="0.25">
      <c r="A21" s="40" t="s">
        <v>17</v>
      </c>
      <c r="B21" s="4">
        <v>90</v>
      </c>
      <c r="C21" s="4">
        <v>95</v>
      </c>
      <c r="D21" s="4">
        <v>95</v>
      </c>
      <c r="E21" s="4">
        <v>90</v>
      </c>
      <c r="F21" s="4">
        <v>90</v>
      </c>
      <c r="G21" s="4">
        <f t="shared" si="0"/>
        <v>93.5</v>
      </c>
      <c r="H21" s="11"/>
      <c r="I21" s="4">
        <v>100</v>
      </c>
      <c r="J21" s="4"/>
      <c r="K21" s="4"/>
      <c r="L21" s="4">
        <f t="shared" si="1"/>
        <v>100</v>
      </c>
      <c r="M21" s="54"/>
      <c r="N21" s="4">
        <v>100</v>
      </c>
      <c r="O21" s="54"/>
      <c r="P21" s="4">
        <v>90</v>
      </c>
      <c r="Q21" s="11"/>
      <c r="R21" s="4">
        <v>80</v>
      </c>
      <c r="S21" s="12">
        <f t="shared" si="2"/>
        <v>80</v>
      </c>
      <c r="T21" s="11"/>
      <c r="U21" s="12">
        <f>100</f>
        <v>100</v>
      </c>
      <c r="V21" s="11"/>
      <c r="W21" s="12">
        <f t="shared" si="3"/>
        <v>92.85</v>
      </c>
    </row>
    <row r="22" spans="1:23" ht="12" customHeight="1" x14ac:dyDescent="0.25">
      <c r="A22" s="40" t="s">
        <v>18</v>
      </c>
      <c r="B22" s="4">
        <v>90</v>
      </c>
      <c r="C22" s="4">
        <v>95</v>
      </c>
      <c r="D22" s="4">
        <v>98</v>
      </c>
      <c r="E22" s="4">
        <v>90</v>
      </c>
      <c r="F22" s="4">
        <v>90</v>
      </c>
      <c r="G22" s="4">
        <f t="shared" si="0"/>
        <v>95.3</v>
      </c>
      <c r="H22" s="11"/>
      <c r="I22" s="4">
        <v>100</v>
      </c>
      <c r="J22" s="4"/>
      <c r="K22" s="4"/>
      <c r="L22" s="4">
        <f t="shared" si="1"/>
        <v>100</v>
      </c>
      <c r="M22" s="54"/>
      <c r="N22" s="4">
        <v>100</v>
      </c>
      <c r="O22" s="54"/>
      <c r="P22" s="4">
        <v>90</v>
      </c>
      <c r="Q22" s="11"/>
      <c r="R22" s="4">
        <v>15</v>
      </c>
      <c r="S22" s="12">
        <f t="shared" si="2"/>
        <v>15</v>
      </c>
      <c r="T22" s="11"/>
      <c r="U22" s="12">
        <f>100</f>
        <v>100</v>
      </c>
      <c r="V22" s="11"/>
      <c r="W22" s="12">
        <f t="shared" si="3"/>
        <v>60.53</v>
      </c>
    </row>
    <row r="23" spans="1:23" ht="12" customHeight="1" x14ac:dyDescent="0.25">
      <c r="A23" s="40" t="s">
        <v>19</v>
      </c>
      <c r="B23" s="4">
        <v>90</v>
      </c>
      <c r="C23" s="4">
        <v>90</v>
      </c>
      <c r="D23" s="4">
        <v>85</v>
      </c>
      <c r="E23" s="4">
        <v>90</v>
      </c>
      <c r="F23" s="4">
        <v>90</v>
      </c>
      <c r="G23" s="4">
        <f t="shared" si="0"/>
        <v>87</v>
      </c>
      <c r="H23" s="11"/>
      <c r="I23" s="4">
        <v>100</v>
      </c>
      <c r="J23" s="4"/>
      <c r="K23" s="4"/>
      <c r="L23" s="4">
        <f t="shared" si="1"/>
        <v>100</v>
      </c>
      <c r="M23" s="54"/>
      <c r="N23" s="4">
        <v>100</v>
      </c>
      <c r="O23" s="54"/>
      <c r="P23" s="4">
        <v>0</v>
      </c>
      <c r="Q23" s="11"/>
      <c r="R23" s="4">
        <v>65</v>
      </c>
      <c r="S23" s="12">
        <f t="shared" si="2"/>
        <v>65</v>
      </c>
      <c r="T23" s="11"/>
      <c r="U23" s="12">
        <f>100</f>
        <v>100</v>
      </c>
      <c r="V23" s="11"/>
      <c r="W23" s="12">
        <f t="shared" si="3"/>
        <v>71.2</v>
      </c>
    </row>
    <row r="24" spans="1:23" ht="12" customHeight="1" x14ac:dyDescent="0.25">
      <c r="A24" s="40" t="s">
        <v>20</v>
      </c>
      <c r="B24" s="4">
        <v>90</v>
      </c>
      <c r="C24" s="4">
        <v>90</v>
      </c>
      <c r="D24" s="4">
        <v>90</v>
      </c>
      <c r="E24" s="4">
        <v>90</v>
      </c>
      <c r="F24" s="4">
        <v>90</v>
      </c>
      <c r="G24" s="4">
        <f t="shared" si="0"/>
        <v>90</v>
      </c>
      <c r="H24" s="11"/>
      <c r="I24" s="4">
        <v>100</v>
      </c>
      <c r="J24" s="4"/>
      <c r="K24" s="4"/>
      <c r="L24" s="4">
        <f t="shared" si="1"/>
        <v>100</v>
      </c>
      <c r="M24" s="54"/>
      <c r="N24" s="4">
        <v>100</v>
      </c>
      <c r="O24" s="54"/>
      <c r="P24" s="4">
        <v>90</v>
      </c>
      <c r="Q24" s="11"/>
      <c r="R24" s="4">
        <v>25</v>
      </c>
      <c r="S24" s="12">
        <f t="shared" si="2"/>
        <v>25</v>
      </c>
      <c r="T24" s="11"/>
      <c r="U24" s="12">
        <f>100</f>
        <v>100</v>
      </c>
      <c r="V24" s="11"/>
      <c r="W24" s="12">
        <f t="shared" si="3"/>
        <v>65</v>
      </c>
    </row>
    <row r="25" spans="1:23" ht="12" customHeight="1" x14ac:dyDescent="0.25">
      <c r="A25" s="40" t="s">
        <v>21</v>
      </c>
      <c r="B25" s="4">
        <v>90</v>
      </c>
      <c r="C25" s="4">
        <v>90</v>
      </c>
      <c r="D25" s="4">
        <v>90</v>
      </c>
      <c r="E25" s="4">
        <v>90</v>
      </c>
      <c r="F25" s="4">
        <v>90</v>
      </c>
      <c r="G25" s="4">
        <f t="shared" si="0"/>
        <v>90</v>
      </c>
      <c r="H25" s="11"/>
      <c r="I25" s="4">
        <v>100</v>
      </c>
      <c r="J25" s="4"/>
      <c r="K25" s="4"/>
      <c r="L25" s="4">
        <f t="shared" si="1"/>
        <v>100</v>
      </c>
      <c r="M25" s="54"/>
      <c r="N25" s="4">
        <v>100</v>
      </c>
      <c r="O25" s="54"/>
      <c r="P25" s="4">
        <v>70</v>
      </c>
      <c r="Q25" s="11"/>
      <c r="R25" s="4">
        <v>20</v>
      </c>
      <c r="S25" s="12">
        <f t="shared" si="2"/>
        <v>20</v>
      </c>
      <c r="T25" s="11"/>
      <c r="U25" s="12">
        <f>100</f>
        <v>100</v>
      </c>
      <c r="V25" s="11"/>
      <c r="W25" s="12">
        <f t="shared" si="3"/>
        <v>59.5</v>
      </c>
    </row>
    <row r="26" spans="1:23" ht="12" customHeight="1" x14ac:dyDescent="0.25">
      <c r="A26" s="40" t="s">
        <v>22</v>
      </c>
      <c r="B26" s="4">
        <v>0</v>
      </c>
      <c r="C26" s="4">
        <v>0</v>
      </c>
      <c r="D26" s="4">
        <v>0</v>
      </c>
      <c r="E26" s="4">
        <v>0</v>
      </c>
      <c r="F26" s="4">
        <v>0</v>
      </c>
      <c r="G26" s="4">
        <f t="shared" si="0"/>
        <v>0</v>
      </c>
      <c r="H26" s="11"/>
      <c r="I26" s="4">
        <v>100</v>
      </c>
      <c r="J26" s="4"/>
      <c r="K26" s="4"/>
      <c r="L26" s="4">
        <f t="shared" si="1"/>
        <v>100</v>
      </c>
      <c r="M26" s="54"/>
      <c r="N26" s="4">
        <v>100</v>
      </c>
      <c r="O26" s="54"/>
      <c r="P26" s="4">
        <v>0</v>
      </c>
      <c r="Q26" s="11"/>
      <c r="R26" s="4">
        <v>35</v>
      </c>
      <c r="S26" s="12">
        <f t="shared" si="2"/>
        <v>35</v>
      </c>
      <c r="T26" s="11"/>
      <c r="U26" s="12">
        <f>100</f>
        <v>100</v>
      </c>
      <c r="V26" s="11"/>
      <c r="W26" s="12">
        <f t="shared" si="3"/>
        <v>47.5</v>
      </c>
    </row>
    <row r="27" spans="1:23" ht="12" customHeight="1" x14ac:dyDescent="0.25">
      <c r="A27" s="40" t="s">
        <v>60</v>
      </c>
      <c r="B27" s="4">
        <v>90</v>
      </c>
      <c r="C27" s="4">
        <v>90</v>
      </c>
      <c r="D27" s="4">
        <v>85</v>
      </c>
      <c r="E27" s="4">
        <v>90</v>
      </c>
      <c r="F27" s="4">
        <v>90</v>
      </c>
      <c r="G27" s="4">
        <f t="shared" si="0"/>
        <v>87</v>
      </c>
      <c r="H27" s="11"/>
      <c r="I27" s="4">
        <v>100</v>
      </c>
      <c r="J27" s="4"/>
      <c r="K27" s="4"/>
      <c r="L27" s="4">
        <f t="shared" si="1"/>
        <v>100</v>
      </c>
      <c r="M27" s="54"/>
      <c r="N27" s="4">
        <v>100</v>
      </c>
      <c r="O27" s="54"/>
      <c r="P27" s="4">
        <v>0</v>
      </c>
      <c r="Q27" s="11"/>
      <c r="R27" s="4">
        <v>30</v>
      </c>
      <c r="S27" s="12">
        <f t="shared" si="2"/>
        <v>30</v>
      </c>
      <c r="T27" s="11"/>
      <c r="U27" s="12">
        <f>100</f>
        <v>100</v>
      </c>
      <c r="V27" s="11"/>
      <c r="W27" s="12">
        <f t="shared" si="3"/>
        <v>53.7</v>
      </c>
    </row>
    <row r="28" spans="1:23" ht="12" customHeight="1" x14ac:dyDescent="0.25">
      <c r="A28" s="40" t="s">
        <v>51</v>
      </c>
      <c r="B28" s="4">
        <v>90</v>
      </c>
      <c r="C28" s="4">
        <v>90</v>
      </c>
      <c r="D28" s="4">
        <v>90</v>
      </c>
      <c r="E28" s="4">
        <v>90</v>
      </c>
      <c r="F28" s="4">
        <v>0</v>
      </c>
      <c r="G28" s="4">
        <f t="shared" si="0"/>
        <v>81</v>
      </c>
      <c r="H28" s="11"/>
      <c r="I28" s="4">
        <v>100</v>
      </c>
      <c r="J28" s="4"/>
      <c r="K28" s="4"/>
      <c r="L28" s="4">
        <f t="shared" si="1"/>
        <v>100</v>
      </c>
      <c r="M28" s="54"/>
      <c r="N28" s="4">
        <v>100</v>
      </c>
      <c r="O28" s="54"/>
      <c r="P28" s="4">
        <v>0</v>
      </c>
      <c r="Q28" s="11"/>
      <c r="R28" s="4">
        <v>15</v>
      </c>
      <c r="S28" s="12">
        <f t="shared" si="2"/>
        <v>15</v>
      </c>
      <c r="T28" s="11"/>
      <c r="U28" s="12">
        <f>100</f>
        <v>100</v>
      </c>
      <c r="V28" s="11"/>
      <c r="W28" s="12">
        <f t="shared" si="3"/>
        <v>45.6</v>
      </c>
    </row>
    <row r="29" spans="1:23" ht="12" customHeight="1" x14ac:dyDescent="0.25">
      <c r="A29" s="40" t="s">
        <v>23</v>
      </c>
      <c r="B29" s="4">
        <v>85</v>
      </c>
      <c r="C29" s="4">
        <v>90</v>
      </c>
      <c r="D29" s="4">
        <v>90</v>
      </c>
      <c r="E29" s="4">
        <v>90</v>
      </c>
      <c r="F29" s="4">
        <v>90</v>
      </c>
      <c r="G29" s="4">
        <f t="shared" si="0"/>
        <v>89.5</v>
      </c>
      <c r="H29" s="11"/>
      <c r="I29" s="4">
        <v>100</v>
      </c>
      <c r="J29" s="4"/>
      <c r="K29" s="4"/>
      <c r="L29" s="4">
        <f t="shared" si="1"/>
        <v>100</v>
      </c>
      <c r="M29" s="54"/>
      <c r="N29" s="4">
        <v>100</v>
      </c>
      <c r="O29" s="54"/>
      <c r="P29" s="4">
        <v>85</v>
      </c>
      <c r="Q29" s="11"/>
      <c r="R29" s="4">
        <v>10</v>
      </c>
      <c r="S29" s="12">
        <f t="shared" si="2"/>
        <v>10</v>
      </c>
      <c r="T29" s="11"/>
      <c r="U29" s="12">
        <f>100</f>
        <v>100</v>
      </c>
      <c r="V29" s="11"/>
      <c r="W29" s="12">
        <f t="shared" si="3"/>
        <v>56.7</v>
      </c>
    </row>
    <row r="30" spans="1:23" ht="12" customHeight="1" x14ac:dyDescent="0.25">
      <c r="A30" s="40" t="s">
        <v>29</v>
      </c>
      <c r="B30" s="4">
        <v>90</v>
      </c>
      <c r="C30" s="4">
        <v>90</v>
      </c>
      <c r="D30" s="4">
        <v>95</v>
      </c>
      <c r="E30" s="4">
        <v>90</v>
      </c>
      <c r="F30" s="4">
        <v>90</v>
      </c>
      <c r="G30" s="4">
        <f t="shared" si="0"/>
        <v>93</v>
      </c>
      <c r="H30" s="11"/>
      <c r="I30" s="4">
        <v>100</v>
      </c>
      <c r="J30" s="4"/>
      <c r="K30" s="4"/>
      <c r="L30" s="4">
        <f t="shared" si="1"/>
        <v>100</v>
      </c>
      <c r="M30" s="54"/>
      <c r="N30" s="4">
        <v>100</v>
      </c>
      <c r="O30" s="54"/>
      <c r="P30" s="4">
        <v>90</v>
      </c>
      <c r="Q30" s="11"/>
      <c r="R30" s="4">
        <v>40</v>
      </c>
      <c r="S30" s="12">
        <f t="shared" si="2"/>
        <v>40</v>
      </c>
      <c r="T30" s="11"/>
      <c r="U30" s="12">
        <f>100</f>
        <v>100</v>
      </c>
      <c r="V30" s="11"/>
      <c r="W30" s="12">
        <f t="shared" si="3"/>
        <v>72.8</v>
      </c>
    </row>
    <row r="31" spans="1:23" ht="12" customHeight="1" x14ac:dyDescent="0.25">
      <c r="A31" s="40" t="s">
        <v>40</v>
      </c>
      <c r="B31" s="4">
        <v>90</v>
      </c>
      <c r="C31" s="4">
        <v>90</v>
      </c>
      <c r="D31" s="4">
        <v>95</v>
      </c>
      <c r="E31" s="4">
        <v>90</v>
      </c>
      <c r="F31" s="4">
        <v>0</v>
      </c>
      <c r="G31" s="4">
        <f t="shared" si="0"/>
        <v>84</v>
      </c>
      <c r="H31" s="11"/>
      <c r="I31" s="4">
        <v>100</v>
      </c>
      <c r="J31" s="4"/>
      <c r="K31" s="4"/>
      <c r="L31" s="4">
        <f t="shared" si="1"/>
        <v>100</v>
      </c>
      <c r="M31" s="54"/>
      <c r="N31" s="4">
        <v>100</v>
      </c>
      <c r="O31" s="54"/>
      <c r="P31" s="4">
        <v>0</v>
      </c>
      <c r="Q31" s="11"/>
      <c r="R31" s="4">
        <v>65</v>
      </c>
      <c r="S31" s="12">
        <f t="shared" si="2"/>
        <v>65</v>
      </c>
      <c r="T31" s="11"/>
      <c r="U31" s="12">
        <f>100</f>
        <v>100</v>
      </c>
      <c r="V31" s="11"/>
      <c r="W31" s="12">
        <f t="shared" si="3"/>
        <v>70.900000000000006</v>
      </c>
    </row>
    <row r="32" spans="1:23" ht="12" customHeight="1" x14ac:dyDescent="0.25">
      <c r="A32" s="40" t="s">
        <v>41</v>
      </c>
      <c r="B32" s="4">
        <v>0</v>
      </c>
      <c r="C32" s="4">
        <v>0</v>
      </c>
      <c r="D32" s="4">
        <v>0</v>
      </c>
      <c r="E32" s="4">
        <v>0</v>
      </c>
      <c r="F32" s="4">
        <v>0</v>
      </c>
      <c r="G32" s="4">
        <f t="shared" si="0"/>
        <v>0</v>
      </c>
      <c r="H32" s="11"/>
      <c r="I32" s="4">
        <v>100</v>
      </c>
      <c r="J32" s="4"/>
      <c r="K32" s="4"/>
      <c r="L32" s="4">
        <f t="shared" si="1"/>
        <v>100</v>
      </c>
      <c r="M32" s="54"/>
      <c r="N32" s="4">
        <v>100</v>
      </c>
      <c r="O32" s="54"/>
      <c r="P32" s="4">
        <v>0</v>
      </c>
      <c r="Q32" s="11"/>
      <c r="R32" s="4">
        <v>0</v>
      </c>
      <c r="S32" s="12">
        <f t="shared" si="2"/>
        <v>0</v>
      </c>
      <c r="T32" s="11"/>
      <c r="U32" s="12">
        <f>100</f>
        <v>100</v>
      </c>
      <c r="V32" s="11"/>
      <c r="W32" s="12">
        <f t="shared" si="3"/>
        <v>30</v>
      </c>
    </row>
    <row r="33" spans="1:23" ht="12" customHeight="1" x14ac:dyDescent="0.25">
      <c r="A33" s="40" t="s">
        <v>42</v>
      </c>
      <c r="B33" s="4">
        <v>0</v>
      </c>
      <c r="C33" s="4">
        <v>0</v>
      </c>
      <c r="D33" s="4">
        <v>0</v>
      </c>
      <c r="E33" s="4">
        <v>0</v>
      </c>
      <c r="F33" s="4">
        <v>0</v>
      </c>
      <c r="G33" s="4">
        <f t="shared" si="0"/>
        <v>0</v>
      </c>
      <c r="H33" s="11"/>
      <c r="I33" s="4">
        <v>100</v>
      </c>
      <c r="J33" s="4"/>
      <c r="K33" s="4"/>
      <c r="L33" s="4">
        <f t="shared" si="1"/>
        <v>100</v>
      </c>
      <c r="M33" s="54"/>
      <c r="N33" s="4">
        <v>100</v>
      </c>
      <c r="O33" s="54"/>
      <c r="P33" s="4">
        <v>0</v>
      </c>
      <c r="Q33" s="11"/>
      <c r="R33" s="4">
        <v>10</v>
      </c>
      <c r="S33" s="12">
        <f t="shared" si="2"/>
        <v>10</v>
      </c>
      <c r="T33" s="11"/>
      <c r="U33" s="12">
        <f>100</f>
        <v>100</v>
      </c>
      <c r="V33" s="11"/>
      <c r="W33" s="12">
        <f t="shared" si="3"/>
        <v>35</v>
      </c>
    </row>
    <row r="34" spans="1:23" ht="12" customHeight="1" x14ac:dyDescent="0.25">
      <c r="A34" s="40" t="s">
        <v>43</v>
      </c>
      <c r="B34" s="4">
        <v>0</v>
      </c>
      <c r="C34" s="4">
        <v>0</v>
      </c>
      <c r="D34" s="4">
        <v>0</v>
      </c>
      <c r="E34" s="4">
        <v>0</v>
      </c>
      <c r="F34" s="4">
        <v>0</v>
      </c>
      <c r="G34" s="4">
        <f t="shared" si="0"/>
        <v>0</v>
      </c>
      <c r="H34" s="11"/>
      <c r="I34" s="4">
        <v>100</v>
      </c>
      <c r="J34" s="4"/>
      <c r="K34" s="4"/>
      <c r="L34" s="4">
        <f t="shared" si="1"/>
        <v>100</v>
      </c>
      <c r="M34" s="54"/>
      <c r="N34" s="4">
        <v>100</v>
      </c>
      <c r="O34" s="54"/>
      <c r="P34" s="4">
        <v>0</v>
      </c>
      <c r="Q34" s="11"/>
      <c r="R34" s="4">
        <v>0</v>
      </c>
      <c r="S34" s="12">
        <f t="shared" si="2"/>
        <v>0</v>
      </c>
      <c r="T34" s="11"/>
      <c r="U34" s="12">
        <f>100</f>
        <v>100</v>
      </c>
      <c r="V34" s="11"/>
      <c r="W34" s="12">
        <f t="shared" si="3"/>
        <v>30</v>
      </c>
    </row>
    <row r="35" spans="1:23" ht="12" customHeight="1" x14ac:dyDescent="0.25">
      <c r="A35" s="40" t="s">
        <v>44</v>
      </c>
      <c r="B35" s="4">
        <v>0</v>
      </c>
      <c r="C35" s="4">
        <v>0</v>
      </c>
      <c r="D35" s="4">
        <v>0</v>
      </c>
      <c r="E35" s="4">
        <v>0</v>
      </c>
      <c r="F35" s="4">
        <v>0</v>
      </c>
      <c r="G35" s="4">
        <f t="shared" si="0"/>
        <v>0</v>
      </c>
      <c r="H35" s="11"/>
      <c r="I35" s="4">
        <v>100</v>
      </c>
      <c r="J35" s="4"/>
      <c r="K35" s="4"/>
      <c r="L35" s="4">
        <f t="shared" si="1"/>
        <v>100</v>
      </c>
      <c r="M35" s="54"/>
      <c r="N35" s="4">
        <v>100</v>
      </c>
      <c r="O35" s="54"/>
      <c r="P35" s="4">
        <v>0</v>
      </c>
      <c r="Q35" s="11"/>
      <c r="R35" s="4">
        <v>0</v>
      </c>
      <c r="S35" s="12">
        <f t="shared" si="2"/>
        <v>0</v>
      </c>
      <c r="T35" s="11"/>
      <c r="U35" s="12">
        <f>100</f>
        <v>100</v>
      </c>
      <c r="V35" s="11"/>
      <c r="W35" s="12">
        <f t="shared" si="3"/>
        <v>30</v>
      </c>
    </row>
    <row r="36" spans="1:23" ht="12" customHeight="1" x14ac:dyDescent="0.25">
      <c r="A36" s="40" t="s">
        <v>54</v>
      </c>
      <c r="B36" s="4">
        <v>85</v>
      </c>
      <c r="C36" s="4">
        <v>90</v>
      </c>
      <c r="D36" s="4">
        <v>85</v>
      </c>
      <c r="E36" s="4">
        <v>90</v>
      </c>
      <c r="F36" s="4">
        <v>0</v>
      </c>
      <c r="G36" s="4">
        <f t="shared" si="0"/>
        <v>77.5</v>
      </c>
      <c r="H36" s="11"/>
      <c r="I36" s="4">
        <v>100</v>
      </c>
      <c r="J36" s="4"/>
      <c r="K36" s="4"/>
      <c r="L36" s="4">
        <f t="shared" si="1"/>
        <v>100</v>
      </c>
      <c r="M36" s="54"/>
      <c r="N36" s="4">
        <v>100</v>
      </c>
      <c r="O36" s="54"/>
      <c r="P36" s="4">
        <v>50</v>
      </c>
      <c r="Q36" s="11"/>
      <c r="R36" s="4">
        <v>15</v>
      </c>
      <c r="S36" s="12">
        <f t="shared" si="2"/>
        <v>15</v>
      </c>
      <c r="T36" s="11"/>
      <c r="U36" s="12">
        <f>100</f>
        <v>100</v>
      </c>
      <c r="V36" s="11"/>
      <c r="W36" s="12">
        <f t="shared" si="3"/>
        <v>52.75</v>
      </c>
    </row>
    <row r="37" spans="1:23" ht="12" customHeight="1" x14ac:dyDescent="0.25">
      <c r="A37" s="40" t="s">
        <v>58</v>
      </c>
      <c r="B37" s="4">
        <v>0</v>
      </c>
      <c r="C37" s="4">
        <v>0</v>
      </c>
      <c r="D37" s="4">
        <v>0</v>
      </c>
      <c r="E37" s="4">
        <v>0</v>
      </c>
      <c r="F37" s="4">
        <v>0</v>
      </c>
      <c r="G37" s="4">
        <f t="shared" si="0"/>
        <v>0</v>
      </c>
      <c r="H37" s="11"/>
      <c r="I37" s="4">
        <v>100</v>
      </c>
      <c r="J37" s="4"/>
      <c r="K37" s="4"/>
      <c r="L37" s="4">
        <f t="shared" si="1"/>
        <v>100</v>
      </c>
      <c r="M37" s="54"/>
      <c r="N37" s="4">
        <v>100</v>
      </c>
      <c r="O37" s="54"/>
      <c r="P37" s="4">
        <v>0</v>
      </c>
      <c r="Q37" s="11"/>
      <c r="R37" s="4">
        <v>0</v>
      </c>
      <c r="S37" s="12">
        <f t="shared" si="2"/>
        <v>0</v>
      </c>
      <c r="T37" s="11"/>
      <c r="U37" s="12">
        <f>100</f>
        <v>100</v>
      </c>
      <c r="V37" s="11"/>
      <c r="W37" s="12">
        <f t="shared" si="3"/>
        <v>30</v>
      </c>
    </row>
    <row r="38" spans="1:23" ht="12" customHeight="1" x14ac:dyDescent="0.25">
      <c r="A38" s="40" t="s">
        <v>61</v>
      </c>
      <c r="B38" s="4">
        <v>90</v>
      </c>
      <c r="C38" s="4">
        <v>90</v>
      </c>
      <c r="D38" s="4">
        <v>85</v>
      </c>
      <c r="E38" s="4">
        <v>90</v>
      </c>
      <c r="F38" s="4">
        <v>0</v>
      </c>
      <c r="G38" s="4">
        <f t="shared" si="0"/>
        <v>78</v>
      </c>
      <c r="H38" s="11"/>
      <c r="I38" s="4">
        <v>100</v>
      </c>
      <c r="J38" s="4"/>
      <c r="K38" s="4"/>
      <c r="L38" s="4">
        <f t="shared" si="1"/>
        <v>100</v>
      </c>
      <c r="M38" s="54"/>
      <c r="N38" s="4">
        <v>100</v>
      </c>
      <c r="O38" s="54"/>
      <c r="P38" s="4">
        <v>0</v>
      </c>
      <c r="Q38" s="11"/>
      <c r="R38" s="4">
        <v>15</v>
      </c>
      <c r="S38" s="12">
        <f t="shared" si="2"/>
        <v>15</v>
      </c>
      <c r="T38" s="11"/>
      <c r="U38" s="12">
        <f>100</f>
        <v>100</v>
      </c>
      <c r="V38" s="11"/>
      <c r="W38" s="12">
        <f t="shared" si="3"/>
        <v>45.3</v>
      </c>
    </row>
    <row r="39" spans="1:23" ht="12" customHeight="1" x14ac:dyDescent="0.25">
      <c r="A39" s="40" t="s">
        <v>62</v>
      </c>
      <c r="B39" s="4">
        <v>0</v>
      </c>
      <c r="C39" s="4">
        <v>0</v>
      </c>
      <c r="D39" s="4">
        <v>0</v>
      </c>
      <c r="E39" s="4">
        <v>0</v>
      </c>
      <c r="F39" s="4">
        <v>0</v>
      </c>
      <c r="G39" s="4">
        <f t="shared" si="0"/>
        <v>0</v>
      </c>
      <c r="H39" s="11"/>
      <c r="I39" s="4">
        <v>100</v>
      </c>
      <c r="J39" s="4"/>
      <c r="K39" s="4"/>
      <c r="L39" s="4">
        <f t="shared" si="1"/>
        <v>100</v>
      </c>
      <c r="M39" s="54"/>
      <c r="N39" s="4">
        <v>100</v>
      </c>
      <c r="O39" s="54"/>
      <c r="P39" s="4">
        <v>0</v>
      </c>
      <c r="Q39" s="11"/>
      <c r="R39" s="4">
        <v>0</v>
      </c>
      <c r="S39" s="12">
        <f t="shared" si="2"/>
        <v>0</v>
      </c>
      <c r="T39" s="11"/>
      <c r="U39" s="12">
        <f>100</f>
        <v>100</v>
      </c>
      <c r="V39" s="11"/>
      <c r="W39" s="12">
        <f t="shared" si="3"/>
        <v>30</v>
      </c>
    </row>
    <row r="40" spans="1:23" ht="12" customHeight="1" x14ac:dyDescent="0.25">
      <c r="A40" s="40" t="s">
        <v>66</v>
      </c>
      <c r="B40" s="4">
        <v>0</v>
      </c>
      <c r="C40" s="4">
        <v>0</v>
      </c>
      <c r="D40" s="4">
        <v>0</v>
      </c>
      <c r="E40" s="4">
        <v>0</v>
      </c>
      <c r="F40" s="4">
        <v>0</v>
      </c>
      <c r="G40" s="4">
        <f t="shared" si="0"/>
        <v>0</v>
      </c>
      <c r="H40" s="11"/>
      <c r="I40" s="4">
        <v>100</v>
      </c>
      <c r="J40" s="4"/>
      <c r="K40" s="4"/>
      <c r="L40" s="4">
        <f t="shared" si="1"/>
        <v>100</v>
      </c>
      <c r="M40" s="54"/>
      <c r="N40" s="4">
        <v>100</v>
      </c>
      <c r="O40" s="54"/>
      <c r="P40" s="4">
        <v>0</v>
      </c>
      <c r="Q40" s="11"/>
      <c r="R40" s="4">
        <v>0</v>
      </c>
      <c r="S40" s="12">
        <f t="shared" si="2"/>
        <v>0</v>
      </c>
      <c r="T40" s="11"/>
      <c r="U40" s="12">
        <f>100</f>
        <v>100</v>
      </c>
      <c r="V40" s="11"/>
      <c r="W40" s="12">
        <f t="shared" si="3"/>
        <v>30</v>
      </c>
    </row>
    <row r="41" spans="1:23" x14ac:dyDescent="0.25">
      <c r="E41" s="22"/>
      <c r="I41" s="65"/>
    </row>
  </sheetData>
  <mergeCells count="2">
    <mergeCell ref="B1:G1"/>
    <mergeCell ref="I1:K1"/>
  </mergeCell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dimension ref="A1:O41"/>
  <sheetViews>
    <sheetView workbookViewId="0">
      <selection activeCell="A45" sqref="A45"/>
    </sheetView>
  </sheetViews>
  <sheetFormatPr baseColWidth="10" defaultRowHeight="15" x14ac:dyDescent="0.25"/>
  <cols>
    <col min="1" max="1" width="30.42578125" customWidth="1"/>
    <col min="2" max="2" width="12.28515625" customWidth="1"/>
    <col min="3" max="3" width="2.28515625" customWidth="1"/>
    <col min="4" max="7" width="5.7109375" customWidth="1"/>
    <col min="8" max="8" width="1.7109375" customWidth="1"/>
    <col min="9" max="9" width="13" customWidth="1"/>
    <col min="10" max="10" width="2.140625" customWidth="1"/>
    <col min="11" max="11" width="11.5703125" customWidth="1"/>
    <col min="12" max="12" width="1.7109375" customWidth="1"/>
    <col min="14" max="14" width="1.7109375" customWidth="1"/>
    <col min="15" max="15" width="14" customWidth="1"/>
  </cols>
  <sheetData>
    <row r="1" spans="1:15" x14ac:dyDescent="0.25">
      <c r="A1" s="1"/>
      <c r="B1" s="63" t="s">
        <v>74</v>
      </c>
      <c r="C1" s="64"/>
      <c r="D1" s="76" t="s">
        <v>34</v>
      </c>
      <c r="E1" s="76"/>
      <c r="F1" s="76"/>
      <c r="G1" s="59"/>
      <c r="H1" s="51"/>
      <c r="I1" s="59" t="s">
        <v>70</v>
      </c>
      <c r="J1" s="51"/>
      <c r="K1" s="59" t="s">
        <v>68</v>
      </c>
      <c r="L1" s="21"/>
      <c r="M1" s="59" t="s">
        <v>36</v>
      </c>
      <c r="N1" s="21"/>
      <c r="O1" s="59" t="s">
        <v>37</v>
      </c>
    </row>
    <row r="2" spans="1:15" x14ac:dyDescent="0.25">
      <c r="A2" s="13" t="s">
        <v>28</v>
      </c>
      <c r="B2" s="14"/>
      <c r="C2" s="61"/>
      <c r="D2" s="60" t="s">
        <v>31</v>
      </c>
      <c r="E2" s="60" t="s">
        <v>32</v>
      </c>
      <c r="F2" s="60" t="s">
        <v>33</v>
      </c>
      <c r="G2" s="60" t="s">
        <v>39</v>
      </c>
      <c r="H2" s="50"/>
      <c r="I2" s="60"/>
      <c r="J2" s="50"/>
      <c r="K2" s="60"/>
      <c r="L2" s="17"/>
      <c r="M2" s="25"/>
      <c r="N2" s="17"/>
      <c r="O2" s="55"/>
    </row>
    <row r="3" spans="1:15" ht="12" customHeight="1" x14ac:dyDescent="0.25">
      <c r="A3" s="40" t="s">
        <v>0</v>
      </c>
      <c r="B3" s="10">
        <v>100</v>
      </c>
      <c r="C3" s="62"/>
      <c r="D3" s="4">
        <v>100</v>
      </c>
      <c r="E3" s="4"/>
      <c r="F3" s="4"/>
      <c r="G3" s="4">
        <f>AVERAGE(D3:F3)</f>
        <v>100</v>
      </c>
      <c r="H3" s="54"/>
      <c r="I3" s="4">
        <v>100</v>
      </c>
      <c r="J3" s="54"/>
      <c r="K3" s="4">
        <v>100</v>
      </c>
      <c r="L3" s="11"/>
      <c r="M3" s="12">
        <f>100</f>
        <v>100</v>
      </c>
      <c r="N3" s="11"/>
      <c r="O3" s="12">
        <f>IF(SUM(B3*0.1,G3*0.2,I3*0.2,K3*0.5,M3*0.05)&gt;=100,100,SUM(B3*0.1,G3*0.2,I3*0.2,K3*0.5,M3*0.05))</f>
        <v>100</v>
      </c>
    </row>
    <row r="4" spans="1:15" ht="12" customHeight="1" x14ac:dyDescent="0.25">
      <c r="A4" s="40" t="s">
        <v>1</v>
      </c>
      <c r="B4" s="10">
        <v>100</v>
      </c>
      <c r="C4" s="62"/>
      <c r="D4" s="4">
        <v>100</v>
      </c>
      <c r="E4" s="4"/>
      <c r="F4" s="4"/>
      <c r="G4" s="4">
        <f t="shared" ref="G4:G40" si="0">AVERAGE(D4:F4)</f>
        <v>100</v>
      </c>
      <c r="H4" s="54"/>
      <c r="I4" s="4">
        <v>100</v>
      </c>
      <c r="J4" s="54"/>
      <c r="K4" s="4">
        <v>100</v>
      </c>
      <c r="L4" s="11"/>
      <c r="M4" s="12">
        <f>100</f>
        <v>100</v>
      </c>
      <c r="N4" s="11"/>
      <c r="O4" s="12">
        <f t="shared" ref="O4:O40" si="1">IF(SUM(B4*0.1,G4*0.2,I4*0.2,K4*0.5,M4*0.05)&gt;=100,100,SUM(B4*0.1,G4*0.2,I4*0.2,K4*0.5,M4*0.05))</f>
        <v>100</v>
      </c>
    </row>
    <row r="5" spans="1:15" ht="12" customHeight="1" x14ac:dyDescent="0.25">
      <c r="A5" s="40" t="s">
        <v>2</v>
      </c>
      <c r="B5" s="10">
        <v>100</v>
      </c>
      <c r="C5" s="62"/>
      <c r="D5" s="4">
        <v>100</v>
      </c>
      <c r="E5" s="4"/>
      <c r="F5" s="4"/>
      <c r="G5" s="4">
        <f t="shared" si="0"/>
        <v>100</v>
      </c>
      <c r="H5" s="54"/>
      <c r="I5" s="4">
        <v>100</v>
      </c>
      <c r="J5" s="54"/>
      <c r="K5" s="4">
        <v>100</v>
      </c>
      <c r="L5" s="11"/>
      <c r="M5" s="12">
        <f>100</f>
        <v>100</v>
      </c>
      <c r="N5" s="11"/>
      <c r="O5" s="12">
        <f t="shared" si="1"/>
        <v>100</v>
      </c>
    </row>
    <row r="6" spans="1:15" ht="12" customHeight="1" x14ac:dyDescent="0.25">
      <c r="A6" s="40" t="s">
        <v>59</v>
      </c>
      <c r="B6" s="10">
        <v>100</v>
      </c>
      <c r="C6" s="62"/>
      <c r="D6" s="4">
        <v>100</v>
      </c>
      <c r="E6" s="4"/>
      <c r="F6" s="4"/>
      <c r="G6" s="4">
        <f t="shared" si="0"/>
        <v>100</v>
      </c>
      <c r="H6" s="54"/>
      <c r="I6" s="4">
        <v>100</v>
      </c>
      <c r="J6" s="54"/>
      <c r="K6" s="4">
        <v>100</v>
      </c>
      <c r="L6" s="11"/>
      <c r="M6" s="12">
        <f>100</f>
        <v>100</v>
      </c>
      <c r="N6" s="11"/>
      <c r="O6" s="12">
        <f t="shared" si="1"/>
        <v>100</v>
      </c>
    </row>
    <row r="7" spans="1:15" ht="12" customHeight="1" x14ac:dyDescent="0.25">
      <c r="A7" s="40" t="s">
        <v>3</v>
      </c>
      <c r="B7" s="10">
        <v>100</v>
      </c>
      <c r="C7" s="62"/>
      <c r="D7" s="4">
        <v>100</v>
      </c>
      <c r="E7" s="4"/>
      <c r="F7" s="4"/>
      <c r="G7" s="4">
        <f t="shared" si="0"/>
        <v>100</v>
      </c>
      <c r="H7" s="54"/>
      <c r="I7" s="4">
        <v>100</v>
      </c>
      <c r="J7" s="54"/>
      <c r="K7" s="4">
        <v>100</v>
      </c>
      <c r="L7" s="11"/>
      <c r="M7" s="12">
        <f>100</f>
        <v>100</v>
      </c>
      <c r="N7" s="11"/>
      <c r="O7" s="12">
        <f t="shared" si="1"/>
        <v>100</v>
      </c>
    </row>
    <row r="8" spans="1:15" ht="12" customHeight="1" x14ac:dyDescent="0.25">
      <c r="A8" s="40" t="s">
        <v>4</v>
      </c>
      <c r="B8" s="10">
        <v>100</v>
      </c>
      <c r="C8" s="62"/>
      <c r="D8" s="4">
        <v>100</v>
      </c>
      <c r="E8" s="4"/>
      <c r="F8" s="4"/>
      <c r="G8" s="4">
        <f t="shared" si="0"/>
        <v>100</v>
      </c>
      <c r="H8" s="54"/>
      <c r="I8" s="4">
        <v>100</v>
      </c>
      <c r="J8" s="54"/>
      <c r="K8" s="4">
        <v>100</v>
      </c>
      <c r="L8" s="11"/>
      <c r="M8" s="12">
        <f>100</f>
        <v>100</v>
      </c>
      <c r="N8" s="11"/>
      <c r="O8" s="12">
        <f t="shared" si="1"/>
        <v>100</v>
      </c>
    </row>
    <row r="9" spans="1:15" ht="12" customHeight="1" x14ac:dyDescent="0.25">
      <c r="A9" s="40" t="s">
        <v>5</v>
      </c>
      <c r="B9" s="10">
        <v>100</v>
      </c>
      <c r="C9" s="62"/>
      <c r="D9" s="4">
        <v>100</v>
      </c>
      <c r="E9" s="4"/>
      <c r="F9" s="4"/>
      <c r="G9" s="4">
        <f t="shared" si="0"/>
        <v>100</v>
      </c>
      <c r="H9" s="54"/>
      <c r="I9" s="4">
        <v>100</v>
      </c>
      <c r="J9" s="54"/>
      <c r="K9" s="4">
        <v>100</v>
      </c>
      <c r="L9" s="11"/>
      <c r="M9" s="12">
        <f>100</f>
        <v>100</v>
      </c>
      <c r="N9" s="11"/>
      <c r="O9" s="12">
        <f t="shared" si="1"/>
        <v>100</v>
      </c>
    </row>
    <row r="10" spans="1:15" ht="12" customHeight="1" x14ac:dyDescent="0.25">
      <c r="A10" s="40" t="s">
        <v>6</v>
      </c>
      <c r="B10" s="10">
        <v>100</v>
      </c>
      <c r="C10" s="62"/>
      <c r="D10" s="4">
        <v>100</v>
      </c>
      <c r="E10" s="4"/>
      <c r="F10" s="4"/>
      <c r="G10" s="4">
        <f t="shared" si="0"/>
        <v>100</v>
      </c>
      <c r="H10" s="54"/>
      <c r="I10" s="4">
        <v>100</v>
      </c>
      <c r="J10" s="54"/>
      <c r="K10" s="4">
        <v>100</v>
      </c>
      <c r="L10" s="11"/>
      <c r="M10" s="12">
        <f>100</f>
        <v>100</v>
      </c>
      <c r="N10" s="11"/>
      <c r="O10" s="12">
        <f t="shared" si="1"/>
        <v>100</v>
      </c>
    </row>
    <row r="11" spans="1:15" ht="12" customHeight="1" x14ac:dyDescent="0.25">
      <c r="A11" s="40" t="s">
        <v>8</v>
      </c>
      <c r="B11" s="10">
        <v>100</v>
      </c>
      <c r="C11" s="62"/>
      <c r="D11" s="4">
        <v>100</v>
      </c>
      <c r="E11" s="4"/>
      <c r="F11" s="4"/>
      <c r="G11" s="4">
        <f t="shared" si="0"/>
        <v>100</v>
      </c>
      <c r="H11" s="54"/>
      <c r="I11" s="4">
        <v>100</v>
      </c>
      <c r="J11" s="54"/>
      <c r="K11" s="4">
        <v>100</v>
      </c>
      <c r="L11" s="11"/>
      <c r="M11" s="12">
        <f>100</f>
        <v>100</v>
      </c>
      <c r="N11" s="11"/>
      <c r="O11" s="12">
        <f t="shared" si="1"/>
        <v>100</v>
      </c>
    </row>
    <row r="12" spans="1:15" ht="12" customHeight="1" x14ac:dyDescent="0.25">
      <c r="A12" s="40" t="s">
        <v>9</v>
      </c>
      <c r="B12" s="10">
        <v>100</v>
      </c>
      <c r="C12" s="62"/>
      <c r="D12" s="4">
        <v>100</v>
      </c>
      <c r="E12" s="4"/>
      <c r="F12" s="4"/>
      <c r="G12" s="4">
        <f t="shared" si="0"/>
        <v>100</v>
      </c>
      <c r="H12" s="54"/>
      <c r="I12" s="4">
        <v>100</v>
      </c>
      <c r="J12" s="54"/>
      <c r="K12" s="4">
        <v>100</v>
      </c>
      <c r="L12" s="11"/>
      <c r="M12" s="12">
        <f>100</f>
        <v>100</v>
      </c>
      <c r="N12" s="11"/>
      <c r="O12" s="12">
        <f t="shared" si="1"/>
        <v>100</v>
      </c>
    </row>
    <row r="13" spans="1:15" ht="12" customHeight="1" x14ac:dyDescent="0.25">
      <c r="A13" s="40" t="s">
        <v>10</v>
      </c>
      <c r="B13" s="10">
        <v>100</v>
      </c>
      <c r="C13" s="62"/>
      <c r="D13" s="4">
        <v>100</v>
      </c>
      <c r="E13" s="4"/>
      <c r="F13" s="4"/>
      <c r="G13" s="4">
        <f t="shared" si="0"/>
        <v>100</v>
      </c>
      <c r="H13" s="54"/>
      <c r="I13" s="4">
        <v>100</v>
      </c>
      <c r="J13" s="54"/>
      <c r="K13" s="4">
        <v>100</v>
      </c>
      <c r="L13" s="11"/>
      <c r="M13" s="12">
        <f>100</f>
        <v>100</v>
      </c>
      <c r="N13" s="11"/>
      <c r="O13" s="12">
        <f t="shared" si="1"/>
        <v>100</v>
      </c>
    </row>
    <row r="14" spans="1:15" ht="12" customHeight="1" x14ac:dyDescent="0.25">
      <c r="A14" s="40" t="s">
        <v>11</v>
      </c>
      <c r="B14" s="10">
        <v>100</v>
      </c>
      <c r="C14" s="62"/>
      <c r="D14" s="4">
        <v>100</v>
      </c>
      <c r="E14" s="4"/>
      <c r="F14" s="4"/>
      <c r="G14" s="4">
        <f t="shared" si="0"/>
        <v>100</v>
      </c>
      <c r="H14" s="54"/>
      <c r="I14" s="4">
        <v>100</v>
      </c>
      <c r="J14" s="54"/>
      <c r="K14" s="4">
        <v>100</v>
      </c>
      <c r="L14" s="11"/>
      <c r="M14" s="12">
        <f>100</f>
        <v>100</v>
      </c>
      <c r="N14" s="11"/>
      <c r="O14" s="12">
        <f t="shared" si="1"/>
        <v>100</v>
      </c>
    </row>
    <row r="15" spans="1:15" ht="12" customHeight="1" x14ac:dyDescent="0.25">
      <c r="A15" s="40" t="s">
        <v>12</v>
      </c>
      <c r="B15" s="10">
        <v>100</v>
      </c>
      <c r="C15" s="62"/>
      <c r="D15" s="4">
        <v>100</v>
      </c>
      <c r="E15" s="4"/>
      <c r="F15" s="4"/>
      <c r="G15" s="4">
        <f t="shared" si="0"/>
        <v>100</v>
      </c>
      <c r="H15" s="54"/>
      <c r="I15" s="4">
        <v>100</v>
      </c>
      <c r="J15" s="54"/>
      <c r="K15" s="4">
        <v>100</v>
      </c>
      <c r="L15" s="11"/>
      <c r="M15" s="12">
        <f>100</f>
        <v>100</v>
      </c>
      <c r="N15" s="11"/>
      <c r="O15" s="12">
        <f t="shared" si="1"/>
        <v>100</v>
      </c>
    </row>
    <row r="16" spans="1:15" ht="12" customHeight="1" x14ac:dyDescent="0.25">
      <c r="A16" s="40" t="s">
        <v>13</v>
      </c>
      <c r="B16" s="10">
        <v>100</v>
      </c>
      <c r="C16" s="62"/>
      <c r="D16" s="4">
        <v>100</v>
      </c>
      <c r="E16" s="4"/>
      <c r="F16" s="4"/>
      <c r="G16" s="4">
        <f t="shared" si="0"/>
        <v>100</v>
      </c>
      <c r="H16" s="54"/>
      <c r="I16" s="4">
        <v>100</v>
      </c>
      <c r="J16" s="54"/>
      <c r="K16" s="4">
        <v>100</v>
      </c>
      <c r="L16" s="11"/>
      <c r="M16" s="12">
        <f>100</f>
        <v>100</v>
      </c>
      <c r="N16" s="11"/>
      <c r="O16" s="12">
        <f t="shared" si="1"/>
        <v>100</v>
      </c>
    </row>
    <row r="17" spans="1:15" ht="12" customHeight="1" x14ac:dyDescent="0.25">
      <c r="A17" s="40" t="s">
        <v>14</v>
      </c>
      <c r="B17" s="10">
        <v>100</v>
      </c>
      <c r="C17" s="62"/>
      <c r="D17" s="4">
        <v>100</v>
      </c>
      <c r="E17" s="4"/>
      <c r="F17" s="4"/>
      <c r="G17" s="4">
        <f t="shared" si="0"/>
        <v>100</v>
      </c>
      <c r="H17" s="54"/>
      <c r="I17" s="4">
        <v>100</v>
      </c>
      <c r="J17" s="54"/>
      <c r="K17" s="4">
        <v>100</v>
      </c>
      <c r="L17" s="11"/>
      <c r="M17" s="12">
        <f>100</f>
        <v>100</v>
      </c>
      <c r="N17" s="11"/>
      <c r="O17" s="12">
        <f t="shared" si="1"/>
        <v>100</v>
      </c>
    </row>
    <row r="18" spans="1:15" ht="12" customHeight="1" x14ac:dyDescent="0.25">
      <c r="A18" s="40" t="s">
        <v>15</v>
      </c>
      <c r="B18" s="10">
        <v>100</v>
      </c>
      <c r="C18" s="62"/>
      <c r="D18" s="4">
        <v>100</v>
      </c>
      <c r="E18" s="4"/>
      <c r="F18" s="4"/>
      <c r="G18" s="4">
        <f t="shared" si="0"/>
        <v>100</v>
      </c>
      <c r="H18" s="54"/>
      <c r="I18" s="4">
        <v>100</v>
      </c>
      <c r="J18" s="54"/>
      <c r="K18" s="4">
        <v>100</v>
      </c>
      <c r="L18" s="11"/>
      <c r="M18" s="12">
        <f>100</f>
        <v>100</v>
      </c>
      <c r="N18" s="11"/>
      <c r="O18" s="12">
        <f t="shared" si="1"/>
        <v>100</v>
      </c>
    </row>
    <row r="19" spans="1:15" ht="12" customHeight="1" x14ac:dyDescent="0.25">
      <c r="A19" s="40" t="s">
        <v>16</v>
      </c>
      <c r="B19" s="10">
        <v>100</v>
      </c>
      <c r="C19" s="62"/>
      <c r="D19" s="4">
        <v>100</v>
      </c>
      <c r="E19" s="4"/>
      <c r="F19" s="4"/>
      <c r="G19" s="4">
        <f t="shared" si="0"/>
        <v>100</v>
      </c>
      <c r="H19" s="54"/>
      <c r="I19" s="4">
        <v>100</v>
      </c>
      <c r="J19" s="54"/>
      <c r="K19" s="4">
        <v>100</v>
      </c>
      <c r="L19" s="11"/>
      <c r="M19" s="12">
        <f>100</f>
        <v>100</v>
      </c>
      <c r="N19" s="11"/>
      <c r="O19" s="12">
        <f t="shared" si="1"/>
        <v>100</v>
      </c>
    </row>
    <row r="20" spans="1:15" ht="12" customHeight="1" x14ac:dyDescent="0.25">
      <c r="A20" s="40" t="s">
        <v>52</v>
      </c>
      <c r="B20" s="10">
        <v>100</v>
      </c>
      <c r="C20" s="62"/>
      <c r="D20" s="4">
        <v>100</v>
      </c>
      <c r="E20" s="4"/>
      <c r="F20" s="4"/>
      <c r="G20" s="4">
        <f t="shared" si="0"/>
        <v>100</v>
      </c>
      <c r="H20" s="54"/>
      <c r="I20" s="4">
        <v>100</v>
      </c>
      <c r="J20" s="54"/>
      <c r="K20" s="4">
        <v>100</v>
      </c>
      <c r="L20" s="11"/>
      <c r="M20" s="12">
        <f>100</f>
        <v>100</v>
      </c>
      <c r="N20" s="11"/>
      <c r="O20" s="12">
        <f t="shared" si="1"/>
        <v>100</v>
      </c>
    </row>
    <row r="21" spans="1:15" ht="12" customHeight="1" x14ac:dyDescent="0.25">
      <c r="A21" s="40" t="s">
        <v>17</v>
      </c>
      <c r="B21" s="10">
        <v>100</v>
      </c>
      <c r="C21" s="62"/>
      <c r="D21" s="4">
        <v>100</v>
      </c>
      <c r="E21" s="4"/>
      <c r="F21" s="4"/>
      <c r="G21" s="4">
        <f t="shared" si="0"/>
        <v>100</v>
      </c>
      <c r="H21" s="54"/>
      <c r="I21" s="4">
        <v>100</v>
      </c>
      <c r="J21" s="54"/>
      <c r="K21" s="4">
        <v>100</v>
      </c>
      <c r="L21" s="11"/>
      <c r="M21" s="12">
        <f>100</f>
        <v>100</v>
      </c>
      <c r="N21" s="11"/>
      <c r="O21" s="12">
        <f t="shared" si="1"/>
        <v>100</v>
      </c>
    </row>
    <row r="22" spans="1:15" ht="12" customHeight="1" x14ac:dyDescent="0.25">
      <c r="A22" s="40" t="s">
        <v>18</v>
      </c>
      <c r="B22" s="10">
        <v>100</v>
      </c>
      <c r="C22" s="62"/>
      <c r="D22" s="4">
        <v>100</v>
      </c>
      <c r="E22" s="4"/>
      <c r="F22" s="4"/>
      <c r="G22" s="4">
        <f t="shared" si="0"/>
        <v>100</v>
      </c>
      <c r="H22" s="54"/>
      <c r="I22" s="4">
        <v>100</v>
      </c>
      <c r="J22" s="54"/>
      <c r="K22" s="4">
        <v>100</v>
      </c>
      <c r="L22" s="11"/>
      <c r="M22" s="12">
        <f>100</f>
        <v>100</v>
      </c>
      <c r="N22" s="11"/>
      <c r="O22" s="12">
        <f t="shared" si="1"/>
        <v>100</v>
      </c>
    </row>
    <row r="23" spans="1:15" ht="12" customHeight="1" x14ac:dyDescent="0.25">
      <c r="A23" s="40" t="s">
        <v>19</v>
      </c>
      <c r="B23" s="10">
        <v>100</v>
      </c>
      <c r="C23" s="62"/>
      <c r="D23" s="4">
        <v>100</v>
      </c>
      <c r="E23" s="4"/>
      <c r="F23" s="4"/>
      <c r="G23" s="4">
        <f t="shared" si="0"/>
        <v>100</v>
      </c>
      <c r="H23" s="54"/>
      <c r="I23" s="4">
        <v>100</v>
      </c>
      <c r="J23" s="54"/>
      <c r="K23" s="4">
        <v>100</v>
      </c>
      <c r="L23" s="11"/>
      <c r="M23" s="12">
        <f>100</f>
        <v>100</v>
      </c>
      <c r="N23" s="11"/>
      <c r="O23" s="12">
        <f t="shared" si="1"/>
        <v>100</v>
      </c>
    </row>
    <row r="24" spans="1:15" ht="12" customHeight="1" x14ac:dyDescent="0.25">
      <c r="A24" s="40" t="s">
        <v>20</v>
      </c>
      <c r="B24" s="10">
        <v>100</v>
      </c>
      <c r="C24" s="62"/>
      <c r="D24" s="4">
        <v>100</v>
      </c>
      <c r="E24" s="4"/>
      <c r="F24" s="4"/>
      <c r="G24" s="4">
        <f t="shared" si="0"/>
        <v>100</v>
      </c>
      <c r="H24" s="54"/>
      <c r="I24" s="4">
        <v>100</v>
      </c>
      <c r="J24" s="54"/>
      <c r="K24" s="4">
        <v>100</v>
      </c>
      <c r="L24" s="11"/>
      <c r="M24" s="12">
        <f>100</f>
        <v>100</v>
      </c>
      <c r="N24" s="11"/>
      <c r="O24" s="12">
        <f t="shared" si="1"/>
        <v>100</v>
      </c>
    </row>
    <row r="25" spans="1:15" ht="12" customHeight="1" x14ac:dyDescent="0.25">
      <c r="A25" s="40" t="s">
        <v>21</v>
      </c>
      <c r="B25" s="10">
        <v>100</v>
      </c>
      <c r="C25" s="62"/>
      <c r="D25" s="4">
        <v>100</v>
      </c>
      <c r="E25" s="4"/>
      <c r="F25" s="4"/>
      <c r="G25" s="4">
        <f t="shared" si="0"/>
        <v>100</v>
      </c>
      <c r="H25" s="54"/>
      <c r="I25" s="4">
        <v>100</v>
      </c>
      <c r="J25" s="54"/>
      <c r="K25" s="4">
        <v>100</v>
      </c>
      <c r="L25" s="11"/>
      <c r="M25" s="12">
        <f>100</f>
        <v>100</v>
      </c>
      <c r="N25" s="11"/>
      <c r="O25" s="12">
        <f t="shared" si="1"/>
        <v>100</v>
      </c>
    </row>
    <row r="26" spans="1:15" ht="12" customHeight="1" x14ac:dyDescent="0.25">
      <c r="A26" s="40" t="s">
        <v>22</v>
      </c>
      <c r="B26" s="10">
        <v>100</v>
      </c>
      <c r="C26" s="62"/>
      <c r="D26" s="4">
        <v>100</v>
      </c>
      <c r="E26" s="4"/>
      <c r="F26" s="4"/>
      <c r="G26" s="4">
        <f t="shared" si="0"/>
        <v>100</v>
      </c>
      <c r="H26" s="54"/>
      <c r="I26" s="4">
        <v>100</v>
      </c>
      <c r="J26" s="54"/>
      <c r="K26" s="4">
        <v>100</v>
      </c>
      <c r="L26" s="11"/>
      <c r="M26" s="12">
        <f>100</f>
        <v>100</v>
      </c>
      <c r="N26" s="11"/>
      <c r="O26" s="12">
        <f t="shared" si="1"/>
        <v>100</v>
      </c>
    </row>
    <row r="27" spans="1:15" ht="12" customHeight="1" x14ac:dyDescent="0.25">
      <c r="A27" s="40" t="s">
        <v>60</v>
      </c>
      <c r="B27" s="10">
        <v>100</v>
      </c>
      <c r="C27" s="62"/>
      <c r="D27" s="4">
        <v>100</v>
      </c>
      <c r="E27" s="4"/>
      <c r="F27" s="4"/>
      <c r="G27" s="4">
        <f t="shared" si="0"/>
        <v>100</v>
      </c>
      <c r="H27" s="54"/>
      <c r="I27" s="4">
        <v>100</v>
      </c>
      <c r="J27" s="54"/>
      <c r="K27" s="4">
        <v>100</v>
      </c>
      <c r="L27" s="11"/>
      <c r="M27" s="12">
        <f>100</f>
        <v>100</v>
      </c>
      <c r="N27" s="11"/>
      <c r="O27" s="12">
        <f t="shared" si="1"/>
        <v>100</v>
      </c>
    </row>
    <row r="28" spans="1:15" ht="12" customHeight="1" x14ac:dyDescent="0.25">
      <c r="A28" s="40" t="s">
        <v>51</v>
      </c>
      <c r="B28" s="10">
        <v>100</v>
      </c>
      <c r="C28" s="62"/>
      <c r="D28" s="4">
        <v>100</v>
      </c>
      <c r="E28" s="4"/>
      <c r="F28" s="4"/>
      <c r="G28" s="4">
        <f t="shared" si="0"/>
        <v>100</v>
      </c>
      <c r="H28" s="54"/>
      <c r="I28" s="4">
        <v>100</v>
      </c>
      <c r="J28" s="54"/>
      <c r="K28" s="4">
        <v>100</v>
      </c>
      <c r="L28" s="11"/>
      <c r="M28" s="12">
        <f>100</f>
        <v>100</v>
      </c>
      <c r="N28" s="11"/>
      <c r="O28" s="12">
        <f t="shared" si="1"/>
        <v>100</v>
      </c>
    </row>
    <row r="29" spans="1:15" ht="12" customHeight="1" x14ac:dyDescent="0.25">
      <c r="A29" s="40" t="s">
        <v>23</v>
      </c>
      <c r="B29" s="10">
        <v>100</v>
      </c>
      <c r="C29" s="62"/>
      <c r="D29" s="4">
        <v>100</v>
      </c>
      <c r="E29" s="4"/>
      <c r="F29" s="4"/>
      <c r="G29" s="4">
        <f t="shared" si="0"/>
        <v>100</v>
      </c>
      <c r="H29" s="54"/>
      <c r="I29" s="4">
        <v>100</v>
      </c>
      <c r="J29" s="54"/>
      <c r="K29" s="4">
        <v>100</v>
      </c>
      <c r="L29" s="11"/>
      <c r="M29" s="12">
        <f>100</f>
        <v>100</v>
      </c>
      <c r="N29" s="11"/>
      <c r="O29" s="12">
        <f t="shared" si="1"/>
        <v>100</v>
      </c>
    </row>
    <row r="30" spans="1:15" ht="12" customHeight="1" x14ac:dyDescent="0.25">
      <c r="A30" s="40" t="s">
        <v>29</v>
      </c>
      <c r="B30" s="10">
        <v>100</v>
      </c>
      <c r="C30" s="62"/>
      <c r="D30" s="4">
        <v>100</v>
      </c>
      <c r="E30" s="4"/>
      <c r="F30" s="4"/>
      <c r="G30" s="4">
        <f t="shared" si="0"/>
        <v>100</v>
      </c>
      <c r="H30" s="54"/>
      <c r="I30" s="4">
        <v>100</v>
      </c>
      <c r="J30" s="54"/>
      <c r="K30" s="4">
        <v>100</v>
      </c>
      <c r="L30" s="11"/>
      <c r="M30" s="12">
        <f>100</f>
        <v>100</v>
      </c>
      <c r="N30" s="11"/>
      <c r="O30" s="12">
        <f t="shared" si="1"/>
        <v>100</v>
      </c>
    </row>
    <row r="31" spans="1:15" ht="12" customHeight="1" x14ac:dyDescent="0.25">
      <c r="A31" s="40" t="s">
        <v>40</v>
      </c>
      <c r="B31" s="10">
        <v>100</v>
      </c>
      <c r="C31" s="62"/>
      <c r="D31" s="4">
        <v>100</v>
      </c>
      <c r="E31" s="4"/>
      <c r="F31" s="4"/>
      <c r="G31" s="4">
        <f t="shared" si="0"/>
        <v>100</v>
      </c>
      <c r="H31" s="54"/>
      <c r="I31" s="4">
        <v>100</v>
      </c>
      <c r="J31" s="54"/>
      <c r="K31" s="4">
        <v>100</v>
      </c>
      <c r="L31" s="11"/>
      <c r="M31" s="12">
        <f>100</f>
        <v>100</v>
      </c>
      <c r="N31" s="11"/>
      <c r="O31" s="12">
        <f t="shared" si="1"/>
        <v>100</v>
      </c>
    </row>
    <row r="32" spans="1:15" ht="12" customHeight="1" x14ac:dyDescent="0.25">
      <c r="A32" s="40" t="s">
        <v>41</v>
      </c>
      <c r="B32" s="10">
        <v>100</v>
      </c>
      <c r="C32" s="62"/>
      <c r="D32" s="4">
        <v>100</v>
      </c>
      <c r="E32" s="4"/>
      <c r="F32" s="4"/>
      <c r="G32" s="4">
        <f t="shared" si="0"/>
        <v>100</v>
      </c>
      <c r="H32" s="54"/>
      <c r="I32" s="4">
        <v>100</v>
      </c>
      <c r="J32" s="54"/>
      <c r="K32" s="4">
        <v>100</v>
      </c>
      <c r="L32" s="11"/>
      <c r="M32" s="12">
        <f>100</f>
        <v>100</v>
      </c>
      <c r="N32" s="11"/>
      <c r="O32" s="12">
        <f t="shared" si="1"/>
        <v>100</v>
      </c>
    </row>
    <row r="33" spans="1:15" ht="12" customHeight="1" x14ac:dyDescent="0.25">
      <c r="A33" s="40" t="s">
        <v>42</v>
      </c>
      <c r="B33" s="10">
        <v>100</v>
      </c>
      <c r="C33" s="62"/>
      <c r="D33" s="4">
        <v>100</v>
      </c>
      <c r="E33" s="4"/>
      <c r="F33" s="4"/>
      <c r="G33" s="4">
        <f t="shared" si="0"/>
        <v>100</v>
      </c>
      <c r="H33" s="54"/>
      <c r="I33" s="4">
        <v>100</v>
      </c>
      <c r="J33" s="54"/>
      <c r="K33" s="4">
        <v>100</v>
      </c>
      <c r="L33" s="11"/>
      <c r="M33" s="12">
        <f>100</f>
        <v>100</v>
      </c>
      <c r="N33" s="11"/>
      <c r="O33" s="12">
        <f t="shared" si="1"/>
        <v>100</v>
      </c>
    </row>
    <row r="34" spans="1:15" ht="12" customHeight="1" x14ac:dyDescent="0.25">
      <c r="A34" s="40" t="s">
        <v>43</v>
      </c>
      <c r="B34" s="10">
        <v>100</v>
      </c>
      <c r="C34" s="62"/>
      <c r="D34" s="4">
        <v>100</v>
      </c>
      <c r="E34" s="4"/>
      <c r="F34" s="4"/>
      <c r="G34" s="4">
        <f t="shared" si="0"/>
        <v>100</v>
      </c>
      <c r="H34" s="54"/>
      <c r="I34" s="4">
        <v>100</v>
      </c>
      <c r="J34" s="54"/>
      <c r="K34" s="4">
        <v>100</v>
      </c>
      <c r="L34" s="11"/>
      <c r="M34" s="12">
        <f>100</f>
        <v>100</v>
      </c>
      <c r="N34" s="11"/>
      <c r="O34" s="12">
        <f t="shared" si="1"/>
        <v>100</v>
      </c>
    </row>
    <row r="35" spans="1:15" ht="12" customHeight="1" x14ac:dyDescent="0.25">
      <c r="A35" s="40" t="s">
        <v>44</v>
      </c>
      <c r="B35" s="10">
        <v>100</v>
      </c>
      <c r="C35" s="62"/>
      <c r="D35" s="4">
        <v>100</v>
      </c>
      <c r="E35" s="4"/>
      <c r="F35" s="4"/>
      <c r="G35" s="4">
        <f t="shared" si="0"/>
        <v>100</v>
      </c>
      <c r="H35" s="54"/>
      <c r="I35" s="4">
        <v>100</v>
      </c>
      <c r="J35" s="54"/>
      <c r="K35" s="4">
        <v>100</v>
      </c>
      <c r="L35" s="11"/>
      <c r="M35" s="12">
        <f>100</f>
        <v>100</v>
      </c>
      <c r="N35" s="11"/>
      <c r="O35" s="12">
        <f t="shared" si="1"/>
        <v>100</v>
      </c>
    </row>
    <row r="36" spans="1:15" ht="12" customHeight="1" x14ac:dyDescent="0.25">
      <c r="A36" s="40" t="s">
        <v>54</v>
      </c>
      <c r="B36" s="10">
        <v>100</v>
      </c>
      <c r="C36" s="62"/>
      <c r="D36" s="4">
        <v>100</v>
      </c>
      <c r="E36" s="4"/>
      <c r="F36" s="4"/>
      <c r="G36" s="4">
        <f t="shared" si="0"/>
        <v>100</v>
      </c>
      <c r="H36" s="54"/>
      <c r="I36" s="4">
        <v>100</v>
      </c>
      <c r="J36" s="54"/>
      <c r="K36" s="4">
        <v>100</v>
      </c>
      <c r="L36" s="11"/>
      <c r="M36" s="12">
        <f>100</f>
        <v>100</v>
      </c>
      <c r="N36" s="11"/>
      <c r="O36" s="12">
        <f t="shared" si="1"/>
        <v>100</v>
      </c>
    </row>
    <row r="37" spans="1:15" ht="12" customHeight="1" x14ac:dyDescent="0.25">
      <c r="A37" s="40" t="s">
        <v>58</v>
      </c>
      <c r="B37" s="10">
        <v>100</v>
      </c>
      <c r="C37" s="62"/>
      <c r="D37" s="4">
        <v>100</v>
      </c>
      <c r="E37" s="4"/>
      <c r="F37" s="4"/>
      <c r="G37" s="4">
        <f t="shared" si="0"/>
        <v>100</v>
      </c>
      <c r="H37" s="54"/>
      <c r="I37" s="4">
        <v>100</v>
      </c>
      <c r="J37" s="54"/>
      <c r="K37" s="4">
        <v>100</v>
      </c>
      <c r="L37" s="11"/>
      <c r="M37" s="12">
        <f>100</f>
        <v>100</v>
      </c>
      <c r="N37" s="11"/>
      <c r="O37" s="12">
        <f t="shared" si="1"/>
        <v>100</v>
      </c>
    </row>
    <row r="38" spans="1:15" ht="12" customHeight="1" x14ac:dyDescent="0.25">
      <c r="A38" s="40" t="s">
        <v>61</v>
      </c>
      <c r="B38" s="10">
        <v>100</v>
      </c>
      <c r="C38" s="62"/>
      <c r="D38" s="4">
        <v>100</v>
      </c>
      <c r="E38" s="4"/>
      <c r="F38" s="4"/>
      <c r="G38" s="4">
        <f t="shared" si="0"/>
        <v>100</v>
      </c>
      <c r="H38" s="54"/>
      <c r="I38" s="4">
        <v>100</v>
      </c>
      <c r="J38" s="54"/>
      <c r="K38" s="4">
        <v>100</v>
      </c>
      <c r="L38" s="11"/>
      <c r="M38" s="12">
        <f>100</f>
        <v>100</v>
      </c>
      <c r="N38" s="11"/>
      <c r="O38" s="12">
        <f t="shared" si="1"/>
        <v>100</v>
      </c>
    </row>
    <row r="39" spans="1:15" ht="12" customHeight="1" x14ac:dyDescent="0.25">
      <c r="A39" s="40" t="s">
        <v>62</v>
      </c>
      <c r="B39" s="10">
        <v>100</v>
      </c>
      <c r="C39" s="62"/>
      <c r="D39" s="4">
        <v>100</v>
      </c>
      <c r="E39" s="4"/>
      <c r="F39" s="4"/>
      <c r="G39" s="4">
        <f t="shared" si="0"/>
        <v>100</v>
      </c>
      <c r="H39" s="54"/>
      <c r="I39" s="4">
        <v>100</v>
      </c>
      <c r="J39" s="54"/>
      <c r="K39" s="4">
        <v>100</v>
      </c>
      <c r="L39" s="11"/>
      <c r="M39" s="12">
        <f>100</f>
        <v>100</v>
      </c>
      <c r="N39" s="11"/>
      <c r="O39" s="12">
        <f t="shared" si="1"/>
        <v>100</v>
      </c>
    </row>
    <row r="40" spans="1:15" ht="12" customHeight="1" x14ac:dyDescent="0.25">
      <c r="A40" s="40" t="s">
        <v>66</v>
      </c>
      <c r="B40" s="10">
        <v>100</v>
      </c>
      <c r="C40" s="62"/>
      <c r="D40" s="4">
        <v>100</v>
      </c>
      <c r="E40" s="4"/>
      <c r="F40" s="4"/>
      <c r="G40" s="4">
        <f t="shared" si="0"/>
        <v>100</v>
      </c>
      <c r="H40" s="54"/>
      <c r="I40" s="4">
        <v>100</v>
      </c>
      <c r="J40" s="54"/>
      <c r="K40" s="4">
        <v>100</v>
      </c>
      <c r="L40" s="11"/>
      <c r="M40" s="12">
        <f>100</f>
        <v>100</v>
      </c>
      <c r="N40" s="11"/>
      <c r="O40" s="12">
        <f t="shared" si="1"/>
        <v>100</v>
      </c>
    </row>
    <row r="41" spans="1:15" x14ac:dyDescent="0.25">
      <c r="D41" s="65"/>
    </row>
  </sheetData>
  <mergeCells count="1">
    <mergeCell ref="D1:F1"/>
  </mergeCell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V40"/>
  <sheetViews>
    <sheetView workbookViewId="0">
      <selection activeCell="B14" sqref="B14"/>
    </sheetView>
  </sheetViews>
  <sheetFormatPr baseColWidth="10" defaultRowHeight="15" x14ac:dyDescent="0.25"/>
  <cols>
    <col min="1" max="1" width="41.28515625" customWidth="1"/>
    <col min="2" max="6" width="3.7109375" customWidth="1"/>
    <col min="7" max="7" width="4.7109375" customWidth="1"/>
    <col min="8" max="8" width="2.7109375" customWidth="1"/>
    <col min="9" max="14" width="3.7109375" customWidth="1"/>
    <col min="15" max="15" width="2.7109375" customWidth="1"/>
    <col min="16" max="21" width="3.7109375" customWidth="1"/>
    <col min="22" max="22" width="2.5703125" customWidth="1"/>
  </cols>
  <sheetData>
    <row r="1" spans="1:22" x14ac:dyDescent="0.25">
      <c r="A1" s="25"/>
      <c r="B1" s="78" t="s">
        <v>45</v>
      </c>
      <c r="C1" s="78"/>
      <c r="D1" s="78"/>
      <c r="E1" s="78"/>
      <c r="F1" s="78"/>
      <c r="G1" s="78"/>
      <c r="H1" s="35"/>
      <c r="I1" s="78" t="s">
        <v>55</v>
      </c>
      <c r="J1" s="78"/>
      <c r="K1" s="78"/>
      <c r="L1" s="78"/>
      <c r="M1" s="78"/>
      <c r="N1" s="78"/>
      <c r="O1" s="36"/>
      <c r="P1" s="78" t="s">
        <v>63</v>
      </c>
      <c r="Q1" s="78"/>
      <c r="R1" s="78"/>
      <c r="S1" s="78"/>
      <c r="T1" s="78"/>
      <c r="U1" s="78"/>
      <c r="V1" s="36"/>
    </row>
    <row r="2" spans="1:22" x14ac:dyDescent="0.25">
      <c r="A2" s="16" t="s">
        <v>28</v>
      </c>
      <c r="B2" s="27" t="s">
        <v>46</v>
      </c>
      <c r="C2" s="27" t="s">
        <v>47</v>
      </c>
      <c r="D2" s="27" t="s">
        <v>48</v>
      </c>
      <c r="E2" s="27" t="s">
        <v>49</v>
      </c>
      <c r="F2" s="27" t="s">
        <v>50</v>
      </c>
      <c r="G2" s="28" t="s">
        <v>53</v>
      </c>
      <c r="H2" s="17"/>
      <c r="I2" s="27" t="s">
        <v>46</v>
      </c>
      <c r="J2" s="27" t="s">
        <v>47</v>
      </c>
      <c r="K2" s="27" t="s">
        <v>48</v>
      </c>
      <c r="L2" s="27" t="s">
        <v>49</v>
      </c>
      <c r="M2" s="27" t="s">
        <v>50</v>
      </c>
      <c r="N2" s="29" t="s">
        <v>53</v>
      </c>
      <c r="O2" s="26"/>
      <c r="P2" s="27" t="s">
        <v>46</v>
      </c>
      <c r="Q2" s="27" t="s">
        <v>47</v>
      </c>
      <c r="R2" s="27" t="s">
        <v>48</v>
      </c>
      <c r="S2" s="27" t="s">
        <v>49</v>
      </c>
      <c r="T2" s="27" t="s">
        <v>50</v>
      </c>
      <c r="U2" s="29" t="s">
        <v>53</v>
      </c>
      <c r="V2" s="26"/>
    </row>
    <row r="3" spans="1:22" ht="12" customHeight="1" x14ac:dyDescent="0.25">
      <c r="A3" s="30" t="s">
        <v>0</v>
      </c>
      <c r="B3" s="2">
        <v>85</v>
      </c>
      <c r="C3" s="2">
        <v>80</v>
      </c>
      <c r="D3" s="2">
        <v>70</v>
      </c>
      <c r="E3" s="2">
        <v>90</v>
      </c>
      <c r="F3" s="2">
        <v>0</v>
      </c>
      <c r="G3" s="4">
        <f>SUM(B3*0.1,C3*0.1,D3*0.6,E3*0.1,F3*0.1)</f>
        <v>67.5</v>
      </c>
      <c r="H3" s="31"/>
      <c r="I3" s="4">
        <v>80</v>
      </c>
      <c r="J3" s="4">
        <v>90</v>
      </c>
      <c r="K3" s="4">
        <v>90</v>
      </c>
      <c r="L3" s="4">
        <v>90</v>
      </c>
      <c r="M3" s="4">
        <v>90</v>
      </c>
      <c r="N3" s="4">
        <f>SUM(I3*0.1,J3*0.1,K3*0.6,L3*0.1,M3*0.1)</f>
        <v>89</v>
      </c>
      <c r="O3" s="32"/>
      <c r="P3" s="4">
        <v>80</v>
      </c>
      <c r="Q3" s="4">
        <v>85</v>
      </c>
      <c r="R3" s="4">
        <v>85</v>
      </c>
      <c r="S3" s="4">
        <v>90</v>
      </c>
      <c r="T3" s="4">
        <v>90</v>
      </c>
      <c r="U3" s="4">
        <f>SUM(P3*0.1,Q3*0.1,R3*0.6,S3*0.1,T3*0.1)</f>
        <v>85.5</v>
      </c>
      <c r="V3" s="32"/>
    </row>
    <row r="4" spans="1:22" ht="12" customHeight="1" x14ac:dyDescent="0.25">
      <c r="A4" s="30" t="s">
        <v>1</v>
      </c>
      <c r="B4" s="2">
        <v>85</v>
      </c>
      <c r="C4" s="2">
        <v>90</v>
      </c>
      <c r="D4" s="2">
        <v>90</v>
      </c>
      <c r="E4" s="2">
        <v>90</v>
      </c>
      <c r="F4" s="2">
        <v>10</v>
      </c>
      <c r="G4" s="4">
        <f t="shared" ref="G4:G36" si="0">SUM(B4*0.1,C4*0.1,D4*0.6,E4*0.1,F4*0.1)</f>
        <v>81.5</v>
      </c>
      <c r="H4" s="31"/>
      <c r="I4" s="4">
        <v>90</v>
      </c>
      <c r="J4" s="4">
        <v>90</v>
      </c>
      <c r="K4" s="4">
        <v>95</v>
      </c>
      <c r="L4" s="4">
        <v>90</v>
      </c>
      <c r="M4" s="4">
        <v>90</v>
      </c>
      <c r="N4" s="4">
        <f t="shared" ref="N4:N36" si="1">SUM(I4*0.1,J4*0.1,K4*0.6,L4*0.1,M4*0.1)</f>
        <v>93</v>
      </c>
      <c r="O4" s="32"/>
      <c r="P4" s="4">
        <v>90</v>
      </c>
      <c r="Q4" s="4">
        <v>95</v>
      </c>
      <c r="R4" s="4">
        <v>85</v>
      </c>
      <c r="S4" s="4">
        <v>90</v>
      </c>
      <c r="T4" s="4">
        <v>90</v>
      </c>
      <c r="U4" s="4">
        <f t="shared" ref="U4:U39" si="2">SUM(P4*0.1,Q4*0.1,R4*0.6,S4*0.1,T4*0.1)</f>
        <v>87.5</v>
      </c>
      <c r="V4" s="32"/>
    </row>
    <row r="5" spans="1:22" ht="12" customHeight="1" x14ac:dyDescent="0.25">
      <c r="A5" s="30" t="s">
        <v>2</v>
      </c>
      <c r="B5" s="2">
        <v>90</v>
      </c>
      <c r="C5" s="2">
        <v>90</v>
      </c>
      <c r="D5" s="2">
        <v>85</v>
      </c>
      <c r="E5" s="2">
        <v>90</v>
      </c>
      <c r="F5" s="2">
        <v>0</v>
      </c>
      <c r="G5" s="4">
        <f t="shared" si="0"/>
        <v>78</v>
      </c>
      <c r="H5" s="31"/>
      <c r="I5" s="4">
        <v>90</v>
      </c>
      <c r="J5" s="4">
        <v>90</v>
      </c>
      <c r="K5" s="4">
        <v>90</v>
      </c>
      <c r="L5" s="4">
        <v>90</v>
      </c>
      <c r="M5" s="4">
        <v>0</v>
      </c>
      <c r="N5" s="4">
        <f t="shared" si="1"/>
        <v>81</v>
      </c>
      <c r="O5" s="32"/>
      <c r="P5" s="4">
        <v>85</v>
      </c>
      <c r="Q5" s="4">
        <v>80</v>
      </c>
      <c r="R5" s="4">
        <v>85</v>
      </c>
      <c r="S5" s="4">
        <v>90</v>
      </c>
      <c r="T5" s="4">
        <v>90</v>
      </c>
      <c r="U5" s="4">
        <f t="shared" si="2"/>
        <v>85.5</v>
      </c>
      <c r="V5" s="32"/>
    </row>
    <row r="6" spans="1:22" ht="12" customHeight="1" x14ac:dyDescent="0.25">
      <c r="A6" s="30" t="s">
        <v>59</v>
      </c>
      <c r="B6" s="2">
        <v>75</v>
      </c>
      <c r="C6" s="2">
        <v>80</v>
      </c>
      <c r="D6" s="2">
        <v>90</v>
      </c>
      <c r="E6" s="2">
        <v>90</v>
      </c>
      <c r="F6" s="2">
        <v>0</v>
      </c>
      <c r="G6" s="4">
        <f t="shared" si="0"/>
        <v>78.5</v>
      </c>
      <c r="H6" s="31"/>
      <c r="I6" s="4">
        <v>75</v>
      </c>
      <c r="J6" s="4">
        <v>80</v>
      </c>
      <c r="K6" s="4">
        <v>90</v>
      </c>
      <c r="L6" s="4">
        <v>90</v>
      </c>
      <c r="M6" s="4">
        <v>0</v>
      </c>
      <c r="N6" s="4">
        <f t="shared" si="1"/>
        <v>78.5</v>
      </c>
      <c r="O6" s="32"/>
      <c r="P6" s="4">
        <v>75</v>
      </c>
      <c r="Q6" s="4">
        <v>70</v>
      </c>
      <c r="R6" s="4">
        <v>80</v>
      </c>
      <c r="S6" s="4">
        <v>90</v>
      </c>
      <c r="T6" s="4">
        <v>0</v>
      </c>
      <c r="U6" s="4">
        <f t="shared" si="2"/>
        <v>71.5</v>
      </c>
      <c r="V6" s="32"/>
    </row>
    <row r="7" spans="1:22" ht="12" customHeight="1" x14ac:dyDescent="0.25">
      <c r="A7" s="30" t="s">
        <v>3</v>
      </c>
      <c r="B7" s="2">
        <v>70</v>
      </c>
      <c r="C7" s="2">
        <v>80</v>
      </c>
      <c r="D7" s="2">
        <v>90</v>
      </c>
      <c r="E7" s="2">
        <v>90</v>
      </c>
      <c r="F7" s="2">
        <v>0</v>
      </c>
      <c r="G7" s="4">
        <f t="shared" si="0"/>
        <v>78</v>
      </c>
      <c r="H7" s="31"/>
      <c r="I7" s="4">
        <v>70</v>
      </c>
      <c r="J7" s="4">
        <v>80</v>
      </c>
      <c r="K7" s="4">
        <v>0</v>
      </c>
      <c r="L7" s="4">
        <v>90</v>
      </c>
      <c r="M7" s="4">
        <v>0</v>
      </c>
      <c r="N7" s="4">
        <f t="shared" si="1"/>
        <v>24</v>
      </c>
      <c r="O7" s="32"/>
      <c r="P7" s="4">
        <v>80</v>
      </c>
      <c r="Q7" s="4">
        <v>80</v>
      </c>
      <c r="R7" s="4">
        <v>85</v>
      </c>
      <c r="S7" s="4">
        <v>90</v>
      </c>
      <c r="T7" s="4">
        <v>0</v>
      </c>
      <c r="U7" s="4">
        <f t="shared" si="2"/>
        <v>76</v>
      </c>
      <c r="V7" s="32"/>
    </row>
    <row r="8" spans="1:22" ht="12" customHeight="1" x14ac:dyDescent="0.25">
      <c r="A8" s="30" t="s">
        <v>4</v>
      </c>
      <c r="B8" s="2">
        <v>90</v>
      </c>
      <c r="C8" s="2">
        <v>95</v>
      </c>
      <c r="D8" s="2">
        <v>95</v>
      </c>
      <c r="E8" s="2">
        <v>90</v>
      </c>
      <c r="F8" s="2">
        <v>0</v>
      </c>
      <c r="G8" s="4">
        <f t="shared" si="0"/>
        <v>84.5</v>
      </c>
      <c r="H8" s="31"/>
      <c r="I8" s="4">
        <v>90</v>
      </c>
      <c r="J8" s="4">
        <v>90</v>
      </c>
      <c r="K8" s="4">
        <v>95</v>
      </c>
      <c r="L8" s="4">
        <v>90</v>
      </c>
      <c r="M8" s="4">
        <v>90</v>
      </c>
      <c r="N8" s="4">
        <f t="shared" si="1"/>
        <v>93</v>
      </c>
      <c r="O8" s="32"/>
      <c r="P8" s="4">
        <v>90</v>
      </c>
      <c r="Q8" s="4">
        <v>90</v>
      </c>
      <c r="R8" s="4">
        <v>90</v>
      </c>
      <c r="S8" s="4">
        <v>90</v>
      </c>
      <c r="T8" s="4">
        <v>90</v>
      </c>
      <c r="U8" s="4">
        <f t="shared" si="2"/>
        <v>90</v>
      </c>
      <c r="V8" s="32"/>
    </row>
    <row r="9" spans="1:22" ht="12" customHeight="1" x14ac:dyDescent="0.25">
      <c r="A9" s="30" t="s">
        <v>5</v>
      </c>
      <c r="B9" s="2">
        <v>90</v>
      </c>
      <c r="C9" s="2">
        <v>90</v>
      </c>
      <c r="D9" s="2">
        <v>95</v>
      </c>
      <c r="E9" s="2">
        <v>90</v>
      </c>
      <c r="F9" s="2">
        <v>95</v>
      </c>
      <c r="G9" s="4">
        <f t="shared" si="0"/>
        <v>93.5</v>
      </c>
      <c r="H9" s="31"/>
      <c r="I9" s="4">
        <v>90</v>
      </c>
      <c r="J9" s="4">
        <v>85</v>
      </c>
      <c r="K9" s="4">
        <v>0</v>
      </c>
      <c r="L9" s="4">
        <v>90</v>
      </c>
      <c r="M9" s="4">
        <v>90</v>
      </c>
      <c r="N9" s="4">
        <f t="shared" si="1"/>
        <v>35.5</v>
      </c>
      <c r="O9" s="32"/>
      <c r="P9" s="4">
        <v>90</v>
      </c>
      <c r="Q9" s="4">
        <v>90</v>
      </c>
      <c r="R9" s="4">
        <v>90</v>
      </c>
      <c r="S9" s="4">
        <v>90</v>
      </c>
      <c r="T9" s="4">
        <v>0</v>
      </c>
      <c r="U9" s="4">
        <f t="shared" si="2"/>
        <v>81</v>
      </c>
      <c r="V9" s="32"/>
    </row>
    <row r="10" spans="1:22" ht="12" customHeight="1" x14ac:dyDescent="0.25">
      <c r="A10" s="30" t="s">
        <v>6</v>
      </c>
      <c r="B10" s="2">
        <v>85</v>
      </c>
      <c r="C10" s="2">
        <v>85</v>
      </c>
      <c r="D10" s="2">
        <v>80</v>
      </c>
      <c r="E10" s="2">
        <v>90</v>
      </c>
      <c r="F10" s="2">
        <v>90</v>
      </c>
      <c r="G10" s="4">
        <f t="shared" si="0"/>
        <v>83</v>
      </c>
      <c r="H10" s="31"/>
      <c r="I10" s="4">
        <v>90</v>
      </c>
      <c r="J10" s="4">
        <v>90</v>
      </c>
      <c r="K10" s="4">
        <v>95</v>
      </c>
      <c r="L10" s="4">
        <v>90</v>
      </c>
      <c r="M10" s="4">
        <v>90</v>
      </c>
      <c r="N10" s="4">
        <f t="shared" si="1"/>
        <v>93</v>
      </c>
      <c r="O10" s="32"/>
      <c r="P10" s="4">
        <v>90</v>
      </c>
      <c r="Q10" s="4">
        <v>90</v>
      </c>
      <c r="R10" s="4">
        <v>90</v>
      </c>
      <c r="S10" s="4">
        <v>90</v>
      </c>
      <c r="T10" s="4">
        <v>90</v>
      </c>
      <c r="U10" s="4">
        <f t="shared" si="2"/>
        <v>90</v>
      </c>
      <c r="V10" s="32"/>
    </row>
    <row r="11" spans="1:22" ht="12" customHeight="1" x14ac:dyDescent="0.25">
      <c r="A11" s="30" t="s">
        <v>8</v>
      </c>
      <c r="B11" s="2">
        <v>80</v>
      </c>
      <c r="C11" s="2">
        <v>85</v>
      </c>
      <c r="D11" s="2">
        <v>90</v>
      </c>
      <c r="E11" s="2">
        <v>90</v>
      </c>
      <c r="F11" s="2">
        <v>90</v>
      </c>
      <c r="G11" s="4">
        <f>SUM(B11*0.1,C11*0.1,D11*0.6,E11*0.1,F11*0.1)</f>
        <v>88.5</v>
      </c>
      <c r="H11" s="31"/>
      <c r="I11" s="4">
        <v>85</v>
      </c>
      <c r="J11" s="4">
        <v>90</v>
      </c>
      <c r="K11" s="4">
        <v>90</v>
      </c>
      <c r="L11" s="4">
        <v>90</v>
      </c>
      <c r="M11" s="4">
        <v>90</v>
      </c>
      <c r="N11" s="4">
        <f t="shared" si="1"/>
        <v>89.5</v>
      </c>
      <c r="O11" s="32"/>
      <c r="P11" s="4">
        <v>80</v>
      </c>
      <c r="Q11" s="4">
        <v>90</v>
      </c>
      <c r="R11" s="4">
        <v>85</v>
      </c>
      <c r="S11" s="4">
        <v>90</v>
      </c>
      <c r="T11" s="4">
        <v>90</v>
      </c>
      <c r="U11" s="4">
        <f t="shared" si="2"/>
        <v>86</v>
      </c>
      <c r="V11" s="32"/>
    </row>
    <row r="12" spans="1:22" ht="12" customHeight="1" x14ac:dyDescent="0.25">
      <c r="A12" s="30" t="s">
        <v>9</v>
      </c>
      <c r="B12" s="2">
        <v>85</v>
      </c>
      <c r="C12" s="2">
        <v>80</v>
      </c>
      <c r="D12" s="2">
        <v>85</v>
      </c>
      <c r="E12" s="2">
        <v>90</v>
      </c>
      <c r="F12" s="2">
        <v>80</v>
      </c>
      <c r="G12" s="4">
        <f t="shared" si="0"/>
        <v>84.5</v>
      </c>
      <c r="H12" s="31"/>
      <c r="I12" s="4">
        <v>95</v>
      </c>
      <c r="J12" s="4">
        <v>90</v>
      </c>
      <c r="K12" s="4">
        <v>70</v>
      </c>
      <c r="L12" s="4">
        <v>90</v>
      </c>
      <c r="M12" s="4">
        <v>90</v>
      </c>
      <c r="N12" s="4">
        <f t="shared" si="1"/>
        <v>78.5</v>
      </c>
      <c r="O12" s="32"/>
      <c r="P12" s="4">
        <v>90</v>
      </c>
      <c r="Q12" s="4">
        <v>85</v>
      </c>
      <c r="R12" s="4">
        <v>80</v>
      </c>
      <c r="S12" s="4">
        <v>90</v>
      </c>
      <c r="T12" s="4">
        <v>90</v>
      </c>
      <c r="U12" s="4">
        <f t="shared" si="2"/>
        <v>83.5</v>
      </c>
      <c r="V12" s="32"/>
    </row>
    <row r="13" spans="1:22" ht="12" customHeight="1" x14ac:dyDescent="0.25">
      <c r="A13" s="30" t="s">
        <v>10</v>
      </c>
      <c r="B13" s="2">
        <v>40</v>
      </c>
      <c r="C13" s="2">
        <v>80</v>
      </c>
      <c r="D13" s="2">
        <v>90</v>
      </c>
      <c r="E13" s="2">
        <v>90</v>
      </c>
      <c r="F13" s="2">
        <v>0</v>
      </c>
      <c r="G13" s="4">
        <f t="shared" si="0"/>
        <v>75</v>
      </c>
      <c r="H13" s="31"/>
      <c r="I13" s="4">
        <v>85</v>
      </c>
      <c r="J13" s="4">
        <v>90</v>
      </c>
      <c r="K13" s="4">
        <v>70</v>
      </c>
      <c r="L13" s="4">
        <v>90</v>
      </c>
      <c r="M13" s="4">
        <v>90</v>
      </c>
      <c r="N13" s="4">
        <f t="shared" si="1"/>
        <v>77.5</v>
      </c>
      <c r="O13" s="32"/>
      <c r="P13" s="4">
        <v>90</v>
      </c>
      <c r="Q13" s="4">
        <v>85</v>
      </c>
      <c r="R13" s="4">
        <v>85</v>
      </c>
      <c r="S13" s="4">
        <v>90</v>
      </c>
      <c r="T13" s="4">
        <v>90</v>
      </c>
      <c r="U13" s="4">
        <f t="shared" si="2"/>
        <v>86.5</v>
      </c>
      <c r="V13" s="32"/>
    </row>
    <row r="14" spans="1:22" ht="12" customHeight="1" x14ac:dyDescent="0.25">
      <c r="A14" s="30" t="s">
        <v>11</v>
      </c>
      <c r="B14" s="2"/>
      <c r="C14" s="2"/>
      <c r="D14" s="2"/>
      <c r="E14" s="2"/>
      <c r="F14" s="2"/>
      <c r="G14" s="4">
        <f t="shared" si="0"/>
        <v>0</v>
      </c>
      <c r="H14" s="31"/>
      <c r="I14" s="4"/>
      <c r="J14" s="4"/>
      <c r="K14" s="4"/>
      <c r="L14" s="4"/>
      <c r="M14" s="4"/>
      <c r="N14" s="4">
        <f t="shared" si="1"/>
        <v>0</v>
      </c>
      <c r="O14" s="32"/>
      <c r="P14" s="4">
        <v>90</v>
      </c>
      <c r="Q14" s="4">
        <v>80</v>
      </c>
      <c r="R14" s="4">
        <v>90</v>
      </c>
      <c r="S14" s="4">
        <v>80</v>
      </c>
      <c r="T14" s="4">
        <v>90</v>
      </c>
      <c r="U14" s="4">
        <f t="shared" si="2"/>
        <v>88</v>
      </c>
      <c r="V14" s="32"/>
    </row>
    <row r="15" spans="1:22" ht="12" customHeight="1" x14ac:dyDescent="0.25">
      <c r="A15" s="30" t="s">
        <v>12</v>
      </c>
      <c r="B15" s="2">
        <v>95</v>
      </c>
      <c r="C15" s="2">
        <v>95</v>
      </c>
      <c r="D15" s="2">
        <v>95</v>
      </c>
      <c r="E15" s="2">
        <v>90</v>
      </c>
      <c r="F15" s="2">
        <v>0</v>
      </c>
      <c r="G15" s="4">
        <f t="shared" si="0"/>
        <v>85</v>
      </c>
      <c r="H15" s="31"/>
      <c r="I15" s="4">
        <v>90</v>
      </c>
      <c r="J15" s="4">
        <v>90</v>
      </c>
      <c r="K15" s="4">
        <v>90</v>
      </c>
      <c r="L15" s="4">
        <v>90</v>
      </c>
      <c r="M15" s="4">
        <v>90</v>
      </c>
      <c r="N15" s="4">
        <f t="shared" si="1"/>
        <v>90</v>
      </c>
      <c r="O15" s="32"/>
      <c r="P15" s="4">
        <v>90</v>
      </c>
      <c r="Q15" s="4">
        <v>90</v>
      </c>
      <c r="R15" s="4">
        <v>85</v>
      </c>
      <c r="S15" s="4">
        <v>90</v>
      </c>
      <c r="T15" s="4">
        <v>90</v>
      </c>
      <c r="U15" s="4">
        <f t="shared" si="2"/>
        <v>87</v>
      </c>
      <c r="V15" s="32"/>
    </row>
    <row r="16" spans="1:22" ht="12" customHeight="1" x14ac:dyDescent="0.25">
      <c r="A16" s="30" t="s">
        <v>13</v>
      </c>
      <c r="B16" s="2">
        <v>85</v>
      </c>
      <c r="C16" s="2">
        <v>90</v>
      </c>
      <c r="D16" s="2">
        <v>90</v>
      </c>
      <c r="E16" s="2">
        <v>90</v>
      </c>
      <c r="F16" s="2">
        <v>0</v>
      </c>
      <c r="G16" s="4">
        <f t="shared" si="0"/>
        <v>80.5</v>
      </c>
      <c r="H16" s="31"/>
      <c r="I16" s="4">
        <v>90</v>
      </c>
      <c r="J16" s="4">
        <v>90</v>
      </c>
      <c r="K16" s="4">
        <v>95</v>
      </c>
      <c r="L16" s="4">
        <v>90</v>
      </c>
      <c r="M16" s="4">
        <v>85</v>
      </c>
      <c r="N16" s="4">
        <f t="shared" si="1"/>
        <v>92.5</v>
      </c>
      <c r="O16" s="32"/>
      <c r="P16" s="4">
        <v>90</v>
      </c>
      <c r="Q16" s="4">
        <v>90</v>
      </c>
      <c r="R16" s="4">
        <v>95</v>
      </c>
      <c r="S16" s="4">
        <v>90</v>
      </c>
      <c r="T16" s="4">
        <v>0</v>
      </c>
      <c r="U16" s="4">
        <f t="shared" si="2"/>
        <v>84</v>
      </c>
      <c r="V16" s="32"/>
    </row>
    <row r="17" spans="1:22" ht="12" customHeight="1" x14ac:dyDescent="0.25">
      <c r="A17" s="30" t="s">
        <v>14</v>
      </c>
      <c r="B17" s="2">
        <v>90</v>
      </c>
      <c r="C17" s="2">
        <v>95</v>
      </c>
      <c r="D17" s="2">
        <v>95</v>
      </c>
      <c r="E17" s="2">
        <v>90</v>
      </c>
      <c r="F17" s="2">
        <v>85</v>
      </c>
      <c r="G17" s="4">
        <f t="shared" si="0"/>
        <v>93</v>
      </c>
      <c r="H17" s="31"/>
      <c r="I17" s="4">
        <v>90</v>
      </c>
      <c r="J17" s="4">
        <v>90</v>
      </c>
      <c r="K17" s="4">
        <v>95</v>
      </c>
      <c r="L17" s="4">
        <v>90</v>
      </c>
      <c r="M17" s="4">
        <v>90</v>
      </c>
      <c r="N17" s="4">
        <f t="shared" si="1"/>
        <v>93</v>
      </c>
      <c r="O17" s="32"/>
      <c r="P17" s="4">
        <v>90</v>
      </c>
      <c r="Q17" s="4">
        <v>90</v>
      </c>
      <c r="R17" s="4">
        <v>85</v>
      </c>
      <c r="S17" s="4">
        <v>90</v>
      </c>
      <c r="T17" s="4">
        <v>90</v>
      </c>
      <c r="U17" s="4">
        <f t="shared" si="2"/>
        <v>87</v>
      </c>
      <c r="V17" s="32"/>
    </row>
    <row r="18" spans="1:22" ht="12" customHeight="1" x14ac:dyDescent="0.25">
      <c r="A18" s="30" t="s">
        <v>15</v>
      </c>
      <c r="B18" s="2">
        <v>95</v>
      </c>
      <c r="C18" s="2">
        <v>95</v>
      </c>
      <c r="D18" s="2">
        <v>95</v>
      </c>
      <c r="E18" s="2">
        <v>90</v>
      </c>
      <c r="F18" s="2">
        <v>100</v>
      </c>
      <c r="G18" s="4">
        <f t="shared" si="0"/>
        <v>95</v>
      </c>
      <c r="H18" s="31"/>
      <c r="I18" s="4">
        <v>95</v>
      </c>
      <c r="J18" s="4">
        <v>95</v>
      </c>
      <c r="K18" s="4">
        <v>95</v>
      </c>
      <c r="L18" s="4">
        <v>90</v>
      </c>
      <c r="M18" s="4">
        <v>95</v>
      </c>
      <c r="N18" s="4">
        <f t="shared" si="1"/>
        <v>94.5</v>
      </c>
      <c r="O18" s="32"/>
      <c r="P18" s="4">
        <v>90</v>
      </c>
      <c r="Q18" s="4">
        <v>90</v>
      </c>
      <c r="R18" s="4">
        <v>90</v>
      </c>
      <c r="S18" s="4">
        <v>90</v>
      </c>
      <c r="T18" s="4">
        <v>95</v>
      </c>
      <c r="U18" s="4">
        <f t="shared" si="2"/>
        <v>90.5</v>
      </c>
      <c r="V18" s="32"/>
    </row>
    <row r="19" spans="1:22" ht="12" customHeight="1" x14ac:dyDescent="0.25">
      <c r="A19" s="30" t="s">
        <v>16</v>
      </c>
      <c r="B19" s="2">
        <v>90</v>
      </c>
      <c r="C19" s="2">
        <v>80</v>
      </c>
      <c r="D19" s="2">
        <v>85</v>
      </c>
      <c r="E19" s="2">
        <v>90</v>
      </c>
      <c r="F19" s="2">
        <v>0</v>
      </c>
      <c r="G19" s="4">
        <f t="shared" si="0"/>
        <v>77</v>
      </c>
      <c r="H19" s="31"/>
      <c r="I19" s="4">
        <v>95</v>
      </c>
      <c r="J19" s="4">
        <v>90</v>
      </c>
      <c r="K19" s="4">
        <v>90</v>
      </c>
      <c r="L19" s="4">
        <v>90</v>
      </c>
      <c r="M19" s="4">
        <v>90</v>
      </c>
      <c r="N19" s="4">
        <f t="shared" si="1"/>
        <v>90.5</v>
      </c>
      <c r="O19" s="32"/>
      <c r="P19" s="4">
        <v>95</v>
      </c>
      <c r="Q19" s="4">
        <v>90</v>
      </c>
      <c r="R19" s="4">
        <v>90</v>
      </c>
      <c r="S19" s="4">
        <v>90</v>
      </c>
      <c r="T19" s="4">
        <v>90</v>
      </c>
      <c r="U19" s="4">
        <f t="shared" si="2"/>
        <v>90.5</v>
      </c>
      <c r="V19" s="32"/>
    </row>
    <row r="20" spans="1:22" ht="12" customHeight="1" x14ac:dyDescent="0.25">
      <c r="A20" s="30" t="s">
        <v>52</v>
      </c>
      <c r="B20" s="2">
        <v>80</v>
      </c>
      <c r="C20" s="2">
        <v>85</v>
      </c>
      <c r="D20" s="2">
        <v>85</v>
      </c>
      <c r="E20" s="2">
        <v>90</v>
      </c>
      <c r="F20" s="2">
        <v>0</v>
      </c>
      <c r="G20" s="4">
        <f t="shared" si="0"/>
        <v>76.5</v>
      </c>
      <c r="H20" s="31"/>
      <c r="I20" s="4">
        <v>95</v>
      </c>
      <c r="J20" s="4">
        <v>95</v>
      </c>
      <c r="K20" s="4">
        <v>95</v>
      </c>
      <c r="L20" s="4">
        <v>90</v>
      </c>
      <c r="M20" s="4">
        <v>100</v>
      </c>
      <c r="N20" s="4">
        <f t="shared" si="1"/>
        <v>95</v>
      </c>
      <c r="O20" s="32"/>
      <c r="P20" s="4">
        <v>95</v>
      </c>
      <c r="Q20" s="4">
        <v>95</v>
      </c>
      <c r="R20" s="4">
        <v>90</v>
      </c>
      <c r="S20" s="4">
        <v>90</v>
      </c>
      <c r="T20" s="4">
        <v>90</v>
      </c>
      <c r="U20" s="4">
        <f t="shared" si="2"/>
        <v>91</v>
      </c>
      <c r="V20" s="32"/>
    </row>
    <row r="21" spans="1:22" ht="12" customHeight="1" x14ac:dyDescent="0.25">
      <c r="A21" s="30" t="s">
        <v>17</v>
      </c>
      <c r="B21" s="2">
        <v>85</v>
      </c>
      <c r="C21" s="2">
        <v>95</v>
      </c>
      <c r="D21" s="2">
        <v>90</v>
      </c>
      <c r="E21" s="2">
        <v>90</v>
      </c>
      <c r="F21" s="2">
        <v>0</v>
      </c>
      <c r="G21" s="4">
        <f t="shared" si="0"/>
        <v>81</v>
      </c>
      <c r="H21" s="31"/>
      <c r="I21" s="4">
        <v>85</v>
      </c>
      <c r="J21" s="4">
        <v>90</v>
      </c>
      <c r="K21" s="4">
        <v>90</v>
      </c>
      <c r="L21" s="4">
        <v>90</v>
      </c>
      <c r="M21" s="4">
        <v>85</v>
      </c>
      <c r="N21" s="4">
        <f t="shared" si="1"/>
        <v>89</v>
      </c>
      <c r="O21" s="32"/>
      <c r="P21" s="4">
        <v>85</v>
      </c>
      <c r="Q21" s="4">
        <v>90</v>
      </c>
      <c r="R21" s="4">
        <v>95</v>
      </c>
      <c r="S21" s="4">
        <v>90</v>
      </c>
      <c r="T21" s="4">
        <v>85</v>
      </c>
      <c r="U21" s="4">
        <f t="shared" si="2"/>
        <v>92</v>
      </c>
      <c r="V21" s="32"/>
    </row>
    <row r="22" spans="1:22" ht="12" customHeight="1" x14ac:dyDescent="0.25">
      <c r="A22" s="30" t="s">
        <v>18</v>
      </c>
      <c r="B22" s="2">
        <v>90</v>
      </c>
      <c r="C22" s="2">
        <v>90</v>
      </c>
      <c r="D22" s="2">
        <v>95</v>
      </c>
      <c r="E22" s="2">
        <v>90</v>
      </c>
      <c r="F22" s="2">
        <v>90</v>
      </c>
      <c r="G22" s="4">
        <f t="shared" si="0"/>
        <v>93</v>
      </c>
      <c r="H22" s="31"/>
      <c r="I22" s="4">
        <v>90</v>
      </c>
      <c r="J22" s="4">
        <v>95</v>
      </c>
      <c r="K22" s="4">
        <v>95</v>
      </c>
      <c r="L22" s="4">
        <v>90</v>
      </c>
      <c r="M22" s="4">
        <v>90</v>
      </c>
      <c r="N22" s="4">
        <f t="shared" si="1"/>
        <v>93.5</v>
      </c>
      <c r="O22" s="32"/>
      <c r="P22" s="4">
        <v>90</v>
      </c>
      <c r="Q22" s="4">
        <v>90</v>
      </c>
      <c r="R22" s="4">
        <v>90</v>
      </c>
      <c r="S22" s="4">
        <v>90</v>
      </c>
      <c r="T22" s="4">
        <v>85</v>
      </c>
      <c r="U22" s="4">
        <f t="shared" si="2"/>
        <v>89.5</v>
      </c>
      <c r="V22" s="32"/>
    </row>
    <row r="23" spans="1:22" ht="12" customHeight="1" x14ac:dyDescent="0.25">
      <c r="A23" s="30" t="s">
        <v>19</v>
      </c>
      <c r="B23" s="2">
        <v>70</v>
      </c>
      <c r="C23" s="2">
        <v>60</v>
      </c>
      <c r="D23" s="2">
        <v>50</v>
      </c>
      <c r="E23" s="2">
        <v>90</v>
      </c>
      <c r="F23" s="2">
        <v>0</v>
      </c>
      <c r="G23" s="4">
        <f t="shared" si="0"/>
        <v>52</v>
      </c>
      <c r="H23" s="31"/>
      <c r="I23" s="4">
        <v>80</v>
      </c>
      <c r="J23" s="4">
        <v>90</v>
      </c>
      <c r="K23" s="4">
        <v>90</v>
      </c>
      <c r="L23" s="4">
        <v>90</v>
      </c>
      <c r="M23" s="4">
        <v>90</v>
      </c>
      <c r="N23" s="4">
        <f t="shared" si="1"/>
        <v>89</v>
      </c>
      <c r="O23" s="32"/>
      <c r="P23" s="4">
        <v>70</v>
      </c>
      <c r="Q23" s="4">
        <v>70</v>
      </c>
      <c r="R23" s="4">
        <v>70</v>
      </c>
      <c r="S23" s="4">
        <v>90</v>
      </c>
      <c r="T23" s="4">
        <v>80</v>
      </c>
      <c r="U23" s="4">
        <f t="shared" si="2"/>
        <v>73</v>
      </c>
      <c r="V23" s="32"/>
    </row>
    <row r="24" spans="1:22" ht="12" customHeight="1" x14ac:dyDescent="0.25">
      <c r="A24" s="30" t="s">
        <v>20</v>
      </c>
      <c r="B24" s="2">
        <v>90</v>
      </c>
      <c r="C24" s="2">
        <v>85</v>
      </c>
      <c r="D24" s="2">
        <v>90</v>
      </c>
      <c r="E24" s="2">
        <v>90</v>
      </c>
      <c r="F24" s="2">
        <v>85</v>
      </c>
      <c r="G24" s="4">
        <f t="shared" si="0"/>
        <v>89</v>
      </c>
      <c r="H24" s="31"/>
      <c r="I24" s="4">
        <v>90</v>
      </c>
      <c r="J24" s="4">
        <v>85</v>
      </c>
      <c r="K24" s="4">
        <v>95</v>
      </c>
      <c r="L24" s="4">
        <v>90</v>
      </c>
      <c r="M24" s="4">
        <v>90</v>
      </c>
      <c r="N24" s="4">
        <f t="shared" si="1"/>
        <v>92.5</v>
      </c>
      <c r="O24" s="32"/>
      <c r="P24" s="4">
        <v>90</v>
      </c>
      <c r="Q24" s="4">
        <v>90</v>
      </c>
      <c r="R24" s="4">
        <v>90</v>
      </c>
      <c r="S24" s="4">
        <v>90</v>
      </c>
      <c r="T24" s="4">
        <v>80</v>
      </c>
      <c r="U24" s="4">
        <f t="shared" si="2"/>
        <v>89</v>
      </c>
      <c r="V24" s="32"/>
    </row>
    <row r="25" spans="1:22" ht="12" customHeight="1" x14ac:dyDescent="0.25">
      <c r="A25" s="30" t="s">
        <v>21</v>
      </c>
      <c r="B25" s="2">
        <v>70</v>
      </c>
      <c r="C25" s="2">
        <v>75</v>
      </c>
      <c r="D25" s="2">
        <v>95</v>
      </c>
      <c r="E25" s="2">
        <v>90</v>
      </c>
      <c r="F25" s="2">
        <v>0</v>
      </c>
      <c r="G25" s="4">
        <f t="shared" si="0"/>
        <v>80.5</v>
      </c>
      <c r="H25" s="31"/>
      <c r="I25" s="4">
        <v>80</v>
      </c>
      <c r="J25" s="4">
        <v>90</v>
      </c>
      <c r="K25" s="4">
        <v>95</v>
      </c>
      <c r="L25" s="4">
        <v>90</v>
      </c>
      <c r="M25" s="4">
        <v>90</v>
      </c>
      <c r="N25" s="4">
        <f t="shared" si="1"/>
        <v>92</v>
      </c>
      <c r="O25" s="32"/>
      <c r="P25" s="4">
        <v>90</v>
      </c>
      <c r="Q25" s="4">
        <v>90</v>
      </c>
      <c r="R25" s="4">
        <v>90</v>
      </c>
      <c r="S25" s="4">
        <v>90</v>
      </c>
      <c r="T25" s="4">
        <v>90</v>
      </c>
      <c r="U25" s="4">
        <f t="shared" si="2"/>
        <v>90</v>
      </c>
      <c r="V25" s="32"/>
    </row>
    <row r="26" spans="1:22" ht="12" customHeight="1" x14ac:dyDescent="0.25">
      <c r="A26" s="30" t="s">
        <v>22</v>
      </c>
      <c r="B26" s="2">
        <v>95</v>
      </c>
      <c r="C26" s="2">
        <v>95</v>
      </c>
      <c r="D26" s="2">
        <v>90</v>
      </c>
      <c r="E26" s="2">
        <v>90</v>
      </c>
      <c r="F26" s="2">
        <v>95</v>
      </c>
      <c r="G26" s="4">
        <f t="shared" si="0"/>
        <v>91.5</v>
      </c>
      <c r="H26" s="31"/>
      <c r="I26" s="4">
        <v>95</v>
      </c>
      <c r="J26" s="4">
        <v>95</v>
      </c>
      <c r="K26" s="4">
        <v>70</v>
      </c>
      <c r="L26" s="4">
        <v>90</v>
      </c>
      <c r="M26" s="4">
        <v>95</v>
      </c>
      <c r="N26" s="4">
        <f t="shared" si="1"/>
        <v>79.5</v>
      </c>
      <c r="O26" s="32"/>
      <c r="P26" s="4">
        <v>95</v>
      </c>
      <c r="Q26" s="4">
        <v>95</v>
      </c>
      <c r="R26" s="4">
        <v>90</v>
      </c>
      <c r="S26" s="4">
        <v>90</v>
      </c>
      <c r="T26" s="4">
        <v>90</v>
      </c>
      <c r="U26" s="4">
        <f t="shared" si="2"/>
        <v>91</v>
      </c>
      <c r="V26" s="32"/>
    </row>
    <row r="27" spans="1:22" ht="12" customHeight="1" x14ac:dyDescent="0.25">
      <c r="A27" s="30" t="s">
        <v>60</v>
      </c>
      <c r="B27" s="2">
        <v>85</v>
      </c>
      <c r="C27" s="2">
        <v>90</v>
      </c>
      <c r="D27" s="2">
        <v>90</v>
      </c>
      <c r="E27" s="2">
        <v>90</v>
      </c>
      <c r="F27" s="2">
        <v>0</v>
      </c>
      <c r="G27" s="4">
        <f t="shared" si="0"/>
        <v>80.5</v>
      </c>
      <c r="H27" s="31"/>
      <c r="I27" s="4">
        <v>80</v>
      </c>
      <c r="J27" s="4">
        <v>90</v>
      </c>
      <c r="K27" s="4">
        <v>70</v>
      </c>
      <c r="L27" s="4">
        <v>90</v>
      </c>
      <c r="M27" s="4">
        <v>90</v>
      </c>
      <c r="N27" s="4">
        <f t="shared" si="1"/>
        <v>77</v>
      </c>
      <c r="O27" s="32"/>
      <c r="P27" s="4">
        <v>85</v>
      </c>
      <c r="Q27" s="4">
        <v>85</v>
      </c>
      <c r="R27" s="4">
        <v>90</v>
      </c>
      <c r="S27" s="4">
        <v>90</v>
      </c>
      <c r="T27" s="4">
        <v>0</v>
      </c>
      <c r="U27" s="4">
        <f t="shared" si="2"/>
        <v>80</v>
      </c>
      <c r="V27" s="32"/>
    </row>
    <row r="28" spans="1:22" ht="12" customHeight="1" x14ac:dyDescent="0.25">
      <c r="A28" s="30" t="s">
        <v>51</v>
      </c>
      <c r="B28" s="2">
        <v>85</v>
      </c>
      <c r="C28" s="2">
        <v>85</v>
      </c>
      <c r="D28" s="2">
        <v>90</v>
      </c>
      <c r="E28" s="2">
        <v>90</v>
      </c>
      <c r="F28" s="3">
        <v>95</v>
      </c>
      <c r="G28" s="4">
        <f t="shared" si="0"/>
        <v>89.5</v>
      </c>
      <c r="H28" s="31"/>
      <c r="I28" s="4">
        <v>85</v>
      </c>
      <c r="J28" s="4">
        <v>85</v>
      </c>
      <c r="K28" s="4">
        <v>90</v>
      </c>
      <c r="L28" s="4">
        <v>90</v>
      </c>
      <c r="M28" s="4">
        <v>0</v>
      </c>
      <c r="N28" s="4">
        <f t="shared" si="1"/>
        <v>80</v>
      </c>
      <c r="O28" s="32"/>
      <c r="P28" s="4">
        <v>85</v>
      </c>
      <c r="Q28" s="4">
        <v>85</v>
      </c>
      <c r="R28" s="4">
        <v>90</v>
      </c>
      <c r="S28" s="4">
        <v>90</v>
      </c>
      <c r="T28" s="4">
        <v>0</v>
      </c>
      <c r="U28" s="4">
        <f t="shared" si="2"/>
        <v>80</v>
      </c>
      <c r="V28" s="32"/>
    </row>
    <row r="29" spans="1:22" ht="12" customHeight="1" x14ac:dyDescent="0.25">
      <c r="A29" s="30" t="s">
        <v>23</v>
      </c>
      <c r="B29" s="2">
        <v>90</v>
      </c>
      <c r="C29" s="2">
        <v>85</v>
      </c>
      <c r="D29" s="2">
        <v>90</v>
      </c>
      <c r="E29" s="2">
        <v>90</v>
      </c>
      <c r="F29" s="2">
        <v>0</v>
      </c>
      <c r="G29" s="4">
        <f t="shared" si="0"/>
        <v>80.5</v>
      </c>
      <c r="H29" s="31"/>
      <c r="I29" s="4">
        <v>90</v>
      </c>
      <c r="J29" s="4">
        <v>90</v>
      </c>
      <c r="K29" s="4">
        <v>90</v>
      </c>
      <c r="L29" s="4">
        <v>90</v>
      </c>
      <c r="M29" s="4">
        <v>85</v>
      </c>
      <c r="N29" s="4">
        <f t="shared" si="1"/>
        <v>89.5</v>
      </c>
      <c r="O29" s="32"/>
      <c r="P29" s="4">
        <v>90</v>
      </c>
      <c r="Q29" s="4">
        <v>85</v>
      </c>
      <c r="R29" s="4">
        <v>80</v>
      </c>
      <c r="S29" s="4">
        <v>90</v>
      </c>
      <c r="T29" s="4">
        <v>90</v>
      </c>
      <c r="U29" s="4">
        <f t="shared" si="2"/>
        <v>83.5</v>
      </c>
      <c r="V29" s="32"/>
    </row>
    <row r="30" spans="1:22" ht="12" customHeight="1" x14ac:dyDescent="0.25">
      <c r="A30" s="30" t="s">
        <v>29</v>
      </c>
      <c r="B30" s="2">
        <v>40</v>
      </c>
      <c r="C30" s="2">
        <v>80</v>
      </c>
      <c r="D30" s="2">
        <v>90</v>
      </c>
      <c r="E30" s="2">
        <v>90</v>
      </c>
      <c r="F30" s="2">
        <v>0</v>
      </c>
      <c r="G30" s="4">
        <f t="shared" si="0"/>
        <v>75</v>
      </c>
      <c r="H30" s="31"/>
      <c r="I30" s="4">
        <v>90</v>
      </c>
      <c r="J30" s="4">
        <v>90</v>
      </c>
      <c r="K30" s="4">
        <v>70</v>
      </c>
      <c r="L30" s="4">
        <v>90</v>
      </c>
      <c r="M30" s="4">
        <v>90</v>
      </c>
      <c r="N30" s="4">
        <f t="shared" si="1"/>
        <v>78</v>
      </c>
      <c r="O30" s="32"/>
      <c r="P30" s="4">
        <v>90</v>
      </c>
      <c r="Q30" s="4">
        <v>85</v>
      </c>
      <c r="R30" s="4">
        <v>85</v>
      </c>
      <c r="S30" s="4">
        <v>90</v>
      </c>
      <c r="T30" s="4">
        <v>90</v>
      </c>
      <c r="U30" s="4">
        <f t="shared" si="2"/>
        <v>86.5</v>
      </c>
      <c r="V30" s="32"/>
    </row>
    <row r="31" spans="1:22" ht="12" customHeight="1" x14ac:dyDescent="0.25">
      <c r="A31" s="30" t="s">
        <v>40</v>
      </c>
      <c r="B31" s="2">
        <v>90</v>
      </c>
      <c r="C31" s="2">
        <v>85</v>
      </c>
      <c r="D31" s="2">
        <v>90</v>
      </c>
      <c r="E31" s="2">
        <v>90</v>
      </c>
      <c r="F31" s="2">
        <v>0</v>
      </c>
      <c r="G31" s="4">
        <f t="shared" si="0"/>
        <v>80.5</v>
      </c>
      <c r="H31" s="31"/>
      <c r="I31" s="4">
        <v>90</v>
      </c>
      <c r="J31" s="4">
        <v>90</v>
      </c>
      <c r="K31" s="4">
        <v>95</v>
      </c>
      <c r="L31" s="4">
        <v>90</v>
      </c>
      <c r="M31" s="4">
        <v>95</v>
      </c>
      <c r="N31" s="4">
        <f t="shared" si="1"/>
        <v>93.5</v>
      </c>
      <c r="O31" s="32"/>
      <c r="P31" s="4">
        <v>95</v>
      </c>
      <c r="Q31" s="4">
        <v>95</v>
      </c>
      <c r="R31" s="4">
        <v>95</v>
      </c>
      <c r="S31" s="4">
        <v>90</v>
      </c>
      <c r="T31" s="4">
        <v>90</v>
      </c>
      <c r="U31" s="4">
        <f t="shared" si="2"/>
        <v>94</v>
      </c>
      <c r="V31" s="32"/>
    </row>
    <row r="32" spans="1:22" ht="12" customHeight="1" x14ac:dyDescent="0.25">
      <c r="A32" s="30" t="s">
        <v>41</v>
      </c>
      <c r="B32" s="2">
        <v>80</v>
      </c>
      <c r="C32" s="2">
        <v>90</v>
      </c>
      <c r="D32" s="2">
        <v>70</v>
      </c>
      <c r="E32" s="2">
        <v>90</v>
      </c>
      <c r="F32" s="2">
        <v>0</v>
      </c>
      <c r="G32" s="4">
        <f t="shared" si="0"/>
        <v>68</v>
      </c>
      <c r="H32" s="31"/>
      <c r="I32" s="4">
        <v>80</v>
      </c>
      <c r="J32" s="4">
        <v>90</v>
      </c>
      <c r="K32" s="4">
        <v>90</v>
      </c>
      <c r="L32" s="4">
        <v>90</v>
      </c>
      <c r="M32" s="4">
        <v>0</v>
      </c>
      <c r="N32" s="4">
        <f t="shared" si="1"/>
        <v>80</v>
      </c>
      <c r="O32" s="32"/>
      <c r="P32" s="4">
        <v>80</v>
      </c>
      <c r="Q32" s="4">
        <v>90</v>
      </c>
      <c r="R32" s="4">
        <v>90</v>
      </c>
      <c r="S32" s="4">
        <v>90</v>
      </c>
      <c r="T32" s="4">
        <v>80</v>
      </c>
      <c r="U32" s="4">
        <f t="shared" si="2"/>
        <v>88</v>
      </c>
      <c r="V32" s="32"/>
    </row>
    <row r="33" spans="1:22" ht="12" customHeight="1" x14ac:dyDescent="0.25">
      <c r="A33" s="30" t="s">
        <v>42</v>
      </c>
      <c r="B33" s="2">
        <v>80</v>
      </c>
      <c r="C33" s="2">
        <v>85</v>
      </c>
      <c r="D33" s="2">
        <v>85</v>
      </c>
      <c r="E33" s="2">
        <v>90</v>
      </c>
      <c r="F33" s="2">
        <v>85</v>
      </c>
      <c r="G33" s="4">
        <f t="shared" si="0"/>
        <v>85</v>
      </c>
      <c r="H33" s="31"/>
      <c r="I33" s="4">
        <v>90</v>
      </c>
      <c r="J33" s="4">
        <v>85</v>
      </c>
      <c r="K33" s="4">
        <v>70</v>
      </c>
      <c r="L33" s="4">
        <v>90</v>
      </c>
      <c r="M33" s="4">
        <v>90</v>
      </c>
      <c r="N33" s="4">
        <f t="shared" si="1"/>
        <v>77.5</v>
      </c>
      <c r="O33" s="32"/>
      <c r="P33" s="4">
        <v>90</v>
      </c>
      <c r="Q33" s="4">
        <v>85</v>
      </c>
      <c r="R33" s="4">
        <v>85</v>
      </c>
      <c r="S33" s="4">
        <v>90</v>
      </c>
      <c r="T33" s="4">
        <v>80</v>
      </c>
      <c r="U33" s="4">
        <f t="shared" si="2"/>
        <v>85.5</v>
      </c>
      <c r="V33" s="32"/>
    </row>
    <row r="34" spans="1:22" ht="12" customHeight="1" x14ac:dyDescent="0.25">
      <c r="A34" s="30" t="s">
        <v>43</v>
      </c>
      <c r="B34" s="2">
        <v>90</v>
      </c>
      <c r="C34" s="2">
        <v>90</v>
      </c>
      <c r="D34" s="2">
        <v>90</v>
      </c>
      <c r="E34" s="2">
        <v>90</v>
      </c>
      <c r="F34" s="2">
        <v>0</v>
      </c>
      <c r="G34" s="4">
        <f t="shared" si="0"/>
        <v>81</v>
      </c>
      <c r="H34" s="31"/>
      <c r="I34" s="4">
        <v>90</v>
      </c>
      <c r="J34" s="4">
        <v>90</v>
      </c>
      <c r="K34" s="4">
        <v>90</v>
      </c>
      <c r="L34" s="4">
        <v>90</v>
      </c>
      <c r="M34" s="4">
        <v>0</v>
      </c>
      <c r="N34" s="4">
        <f t="shared" si="1"/>
        <v>81</v>
      </c>
      <c r="O34" s="32"/>
      <c r="P34" s="4">
        <v>90</v>
      </c>
      <c r="Q34" s="4">
        <v>90</v>
      </c>
      <c r="R34" s="4">
        <v>95</v>
      </c>
      <c r="S34" s="4">
        <v>90</v>
      </c>
      <c r="T34" s="4">
        <v>0</v>
      </c>
      <c r="U34" s="4">
        <f t="shared" si="2"/>
        <v>84</v>
      </c>
      <c r="V34" s="32"/>
    </row>
    <row r="35" spans="1:22" ht="12" customHeight="1" x14ac:dyDescent="0.25">
      <c r="A35" s="30" t="s">
        <v>44</v>
      </c>
      <c r="B35" s="2"/>
      <c r="C35" s="2"/>
      <c r="D35" s="2"/>
      <c r="E35" s="2"/>
      <c r="F35" s="2"/>
      <c r="G35" s="4">
        <f t="shared" si="0"/>
        <v>0</v>
      </c>
      <c r="H35" s="31"/>
      <c r="I35" s="4"/>
      <c r="J35" s="4"/>
      <c r="K35" s="4"/>
      <c r="L35" s="4"/>
      <c r="M35" s="4"/>
      <c r="N35" s="4">
        <f t="shared" si="1"/>
        <v>0</v>
      </c>
      <c r="O35" s="32"/>
      <c r="P35" s="4"/>
      <c r="Q35" s="4"/>
      <c r="R35" s="4"/>
      <c r="S35" s="4"/>
      <c r="T35" s="4"/>
      <c r="U35" s="4">
        <f t="shared" si="2"/>
        <v>0</v>
      </c>
      <c r="V35" s="32"/>
    </row>
    <row r="36" spans="1:22" ht="12" customHeight="1" x14ac:dyDescent="0.25">
      <c r="A36" s="30" t="s">
        <v>54</v>
      </c>
      <c r="B36" s="2">
        <v>75</v>
      </c>
      <c r="C36" s="2">
        <v>80</v>
      </c>
      <c r="D36" s="2">
        <v>85</v>
      </c>
      <c r="E36" s="2">
        <v>90</v>
      </c>
      <c r="F36" s="2">
        <v>0</v>
      </c>
      <c r="G36" s="4">
        <f t="shared" si="0"/>
        <v>75.5</v>
      </c>
      <c r="H36" s="31"/>
      <c r="I36" s="4">
        <v>70</v>
      </c>
      <c r="J36" s="4">
        <v>80</v>
      </c>
      <c r="K36" s="4">
        <v>0</v>
      </c>
      <c r="L36" s="4">
        <v>90</v>
      </c>
      <c r="M36" s="4">
        <v>0</v>
      </c>
      <c r="N36" s="4">
        <f t="shared" si="1"/>
        <v>24</v>
      </c>
      <c r="O36" s="32"/>
      <c r="P36" s="4">
        <v>60</v>
      </c>
      <c r="Q36" s="4">
        <v>60</v>
      </c>
      <c r="R36" s="4">
        <v>70</v>
      </c>
      <c r="S36" s="4">
        <v>90</v>
      </c>
      <c r="T36" s="4">
        <v>0</v>
      </c>
      <c r="U36" s="4">
        <f t="shared" si="2"/>
        <v>63</v>
      </c>
      <c r="V36" s="32"/>
    </row>
    <row r="37" spans="1:22" ht="12" customHeight="1" x14ac:dyDescent="0.25">
      <c r="A37" s="33" t="s">
        <v>58</v>
      </c>
      <c r="B37" s="2"/>
      <c r="C37" s="2"/>
      <c r="D37" s="2"/>
      <c r="E37" s="2"/>
      <c r="F37" s="2"/>
      <c r="G37" s="4">
        <f t="shared" ref="G37:G39" si="3">SUM(B37*0.1,C37*0.1,D37*0.6,E37*0.1,F37*0.1)</f>
        <v>0</v>
      </c>
      <c r="H37" s="31"/>
      <c r="I37" s="4"/>
      <c r="J37" s="4"/>
      <c r="K37" s="4"/>
      <c r="L37" s="4"/>
      <c r="M37" s="4"/>
      <c r="N37" s="4">
        <f t="shared" ref="N37:N39" si="4">SUM(I37*0.1,J37*0.1,K37*0.6,L37*0.1,M37*0.1)</f>
        <v>0</v>
      </c>
      <c r="O37" s="32"/>
      <c r="P37" s="4"/>
      <c r="Q37" s="4"/>
      <c r="R37" s="4"/>
      <c r="S37" s="4"/>
      <c r="T37" s="4"/>
      <c r="U37" s="4">
        <f t="shared" si="2"/>
        <v>0</v>
      </c>
      <c r="V37" s="32"/>
    </row>
    <row r="38" spans="1:22" ht="12" customHeight="1" x14ac:dyDescent="0.25">
      <c r="A38" s="33" t="s">
        <v>61</v>
      </c>
      <c r="B38" s="2">
        <v>80</v>
      </c>
      <c r="C38" s="2">
        <v>80</v>
      </c>
      <c r="D38" s="2">
        <v>90</v>
      </c>
      <c r="E38" s="2">
        <v>90</v>
      </c>
      <c r="F38" s="2">
        <v>0</v>
      </c>
      <c r="G38" s="4">
        <f t="shared" si="3"/>
        <v>79</v>
      </c>
      <c r="H38" s="31"/>
      <c r="I38" s="2">
        <v>80</v>
      </c>
      <c r="J38" s="2">
        <v>80</v>
      </c>
      <c r="K38" s="2">
        <v>70</v>
      </c>
      <c r="L38" s="2">
        <v>90</v>
      </c>
      <c r="M38" s="2">
        <v>0</v>
      </c>
      <c r="N38" s="4">
        <f t="shared" si="4"/>
        <v>67</v>
      </c>
      <c r="O38" s="32"/>
      <c r="P38" s="4">
        <v>60</v>
      </c>
      <c r="Q38" s="4">
        <v>60</v>
      </c>
      <c r="R38" s="4">
        <v>60</v>
      </c>
      <c r="S38" s="4">
        <v>90</v>
      </c>
      <c r="T38" s="4">
        <v>0</v>
      </c>
      <c r="U38" s="4">
        <f t="shared" si="2"/>
        <v>57</v>
      </c>
      <c r="V38" s="32"/>
    </row>
    <row r="39" spans="1:22" ht="12" customHeight="1" x14ac:dyDescent="0.25">
      <c r="A39" s="33" t="s">
        <v>62</v>
      </c>
      <c r="B39" s="2"/>
      <c r="C39" s="2"/>
      <c r="D39" s="2"/>
      <c r="E39" s="2"/>
      <c r="F39" s="2"/>
      <c r="G39" s="4">
        <f t="shared" si="3"/>
        <v>0</v>
      </c>
      <c r="H39" s="31"/>
      <c r="I39" s="4"/>
      <c r="J39" s="4"/>
      <c r="K39" s="4"/>
      <c r="L39" s="4"/>
      <c r="M39" s="4"/>
      <c r="N39" s="4">
        <f t="shared" si="4"/>
        <v>0</v>
      </c>
      <c r="O39" s="32"/>
      <c r="P39" s="4"/>
      <c r="Q39" s="4"/>
      <c r="R39" s="4"/>
      <c r="S39" s="4"/>
      <c r="T39" s="4"/>
      <c r="U39" s="4">
        <f t="shared" si="2"/>
        <v>0</v>
      </c>
      <c r="V39" s="32"/>
    </row>
    <row r="40" spans="1:22" ht="12" customHeight="1" x14ac:dyDescent="0.25">
      <c r="A40" s="33" t="s">
        <v>66</v>
      </c>
      <c r="B40" s="34"/>
      <c r="C40" s="34"/>
      <c r="D40" s="34"/>
      <c r="E40" s="34"/>
      <c r="F40" s="34"/>
      <c r="G40" s="34"/>
      <c r="H40" s="34"/>
      <c r="I40" s="34"/>
      <c r="J40" s="34"/>
      <c r="K40" s="34"/>
      <c r="L40" s="34"/>
      <c r="M40" s="34"/>
      <c r="N40" s="34"/>
      <c r="O40" s="34"/>
      <c r="P40" s="34"/>
      <c r="Q40" s="34"/>
      <c r="R40" s="34"/>
      <c r="S40" s="34"/>
      <c r="T40" s="34"/>
      <c r="U40" s="34"/>
      <c r="V40" s="34"/>
    </row>
  </sheetData>
  <mergeCells count="3">
    <mergeCell ref="B1:G1"/>
    <mergeCell ref="I1:N1"/>
    <mergeCell ref="P1:U1"/>
  </mergeCell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6</vt:i4>
      </vt:variant>
    </vt:vector>
  </HeadingPairs>
  <TitlesOfParts>
    <vt:vector size="6" baseType="lpstr">
      <vt:lpstr>Principal</vt:lpstr>
      <vt:lpstr>P1</vt:lpstr>
      <vt:lpstr>P2</vt:lpstr>
      <vt:lpstr>P3</vt:lpstr>
      <vt:lpstr>P4</vt:lpstr>
      <vt:lpstr>Tareas-notas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dc:creator>
  <cp:lastModifiedBy>adminIS</cp:lastModifiedBy>
  <cp:lastPrinted>2017-01-25T17:56:46Z</cp:lastPrinted>
  <dcterms:created xsi:type="dcterms:W3CDTF">2017-01-25T01:36:19Z</dcterms:created>
  <dcterms:modified xsi:type="dcterms:W3CDTF">2017-06-03T20:46:37Z</dcterms:modified>
</cp:coreProperties>
</file>